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fe9b64e6393063d/UFAL/teaching/ungraduate/EPET060-EngResII/EPET060-ER2-lectures/"/>
    </mc:Choice>
  </mc:AlternateContent>
  <xr:revisionPtr revIDLastSave="858" documentId="8_{123E22E6-5C52-4BB1-A36D-CCE0C7A27E61}" xr6:coauthVersionLast="47" xr6:coauthVersionMax="47" xr10:uidLastSave="{74FA0E60-AC76-42F7-8831-71F3660216EF}"/>
  <bookViews>
    <workbookView xWindow="-108" yWindow="-108" windowWidth="23256" windowHeight="12456" activeTab="2" xr2:uid="{8950FC6B-F112-4F31-8822-B5C2DDB5C743}"/>
  </bookViews>
  <sheets>
    <sheet name="Capa" sheetId="1" r:id="rId1"/>
    <sheet name="Calcs" sheetId="2" r:id="rId2"/>
    <sheet name="aquife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3" l="1"/>
  <c r="M6" i="3"/>
  <c r="M5" i="3"/>
  <c r="M4" i="3"/>
  <c r="H7" i="3"/>
  <c r="H6" i="3"/>
  <c r="H5" i="3"/>
  <c r="H4" i="3"/>
  <c r="L44" i="1"/>
  <c r="L45" i="1"/>
  <c r="L46" i="1"/>
  <c r="L47" i="1"/>
  <c r="L48" i="1"/>
  <c r="L49" i="1"/>
  <c r="L43" i="1"/>
  <c r="L42" i="1"/>
  <c r="K44" i="1"/>
  <c r="K45" i="1"/>
  <c r="K46" i="1"/>
  <c r="K47" i="1"/>
  <c r="K48" i="1"/>
  <c r="K49" i="1"/>
  <c r="K43" i="1"/>
  <c r="K42" i="1"/>
  <c r="J43" i="1"/>
  <c r="J44" i="1"/>
  <c r="J45" i="1"/>
  <c r="J46" i="1"/>
  <c r="J47" i="1"/>
  <c r="J48" i="1"/>
  <c r="J49" i="1"/>
  <c r="J42" i="1"/>
  <c r="M3" i="3"/>
  <c r="M8" i="3"/>
  <c r="M9" i="3"/>
  <c r="H9" i="3"/>
  <c r="H8" i="3"/>
  <c r="C10" i="3" a="1"/>
  <c r="C10" i="3" l="1"/>
  <c r="B3" i="3"/>
  <c r="C3" i="3"/>
  <c r="D3" i="3"/>
  <c r="B4" i="3"/>
  <c r="C4" i="3"/>
  <c r="D4" i="3"/>
  <c r="B5" i="3"/>
  <c r="C5" i="3"/>
  <c r="D5" i="3"/>
  <c r="B6" i="3"/>
  <c r="C6" i="3"/>
  <c r="D6" i="3"/>
  <c r="B7" i="3"/>
  <c r="C7" i="3"/>
  <c r="D7" i="3"/>
  <c r="B8" i="3"/>
  <c r="C8" i="3"/>
  <c r="D8" i="3"/>
  <c r="B9" i="3"/>
  <c r="C9" i="3"/>
  <c r="D9" i="3"/>
  <c r="C2" i="3"/>
  <c r="D2" i="3"/>
  <c r="B2" i="3"/>
  <c r="J18" i="1"/>
  <c r="K18" i="1"/>
  <c r="B5" i="2"/>
  <c r="C5" i="2"/>
  <c r="D5" i="2"/>
  <c r="B6" i="2"/>
  <c r="C6" i="2"/>
  <c r="D6" i="2"/>
  <c r="B7" i="2"/>
  <c r="C7" i="2"/>
  <c r="D7" i="2"/>
  <c r="B8" i="2"/>
  <c r="C8" i="2"/>
  <c r="H5" i="2" s="1"/>
  <c r="C12" i="2" s="1" a="1"/>
  <c r="D8" i="2"/>
  <c r="C4" i="2"/>
  <c r="D4" i="2"/>
  <c r="B4" i="2"/>
  <c r="P4" i="3" a="1"/>
  <c r="I4" i="3" a="1"/>
  <c r="I6" i="3" a="1"/>
  <c r="D16" i="2" a="1"/>
  <c r="D31" i="2" a="1"/>
  <c r="D20" i="2" a="1"/>
  <c r="D28" i="2" a="1"/>
  <c r="D14" i="2" a="1"/>
  <c r="D21" i="2" a="1"/>
  <c r="D24" i="2" a="1"/>
  <c r="I8" i="3" a="1"/>
  <c r="D15" i="2" a="1"/>
  <c r="I5" i="3" a="1"/>
  <c r="D13" i="2" a="1"/>
  <c r="D25" i="2" a="1"/>
  <c r="D29" i="2" a="1"/>
  <c r="D27" i="2" a="1"/>
  <c r="D30" i="2" a="1"/>
  <c r="D17" i="2" a="1"/>
  <c r="D23" i="2" a="1"/>
  <c r="D32" i="2" a="1"/>
  <c r="D19" i="2" a="1"/>
  <c r="I9" i="3" a="1"/>
  <c r="D26" i="2" a="1"/>
  <c r="I3" i="3" a="1"/>
  <c r="D22" i="2" a="1"/>
  <c r="I7" i="3" a="1"/>
  <c r="D18" i="2" a="1"/>
  <c r="P4" i="3" l="1"/>
  <c r="I4" i="3"/>
  <c r="I6" i="3"/>
  <c r="I9" i="3"/>
  <c r="I5" i="3"/>
  <c r="I8" i="3"/>
  <c r="I7" i="3"/>
  <c r="I3" i="3"/>
  <c r="C12" i="2"/>
  <c r="J28" i="1"/>
  <c r="J33" i="1"/>
  <c r="J39" i="1"/>
  <c r="J26" i="1"/>
  <c r="J30" i="1"/>
  <c r="J34" i="1"/>
  <c r="J25" i="1"/>
  <c r="J36" i="1"/>
  <c r="J32" i="1"/>
  <c r="J21" i="1"/>
  <c r="J38" i="1"/>
  <c r="J29" i="1"/>
  <c r="J24" i="1"/>
  <c r="J35" i="1"/>
  <c r="J27" i="1"/>
  <c r="J31" i="1"/>
  <c r="J22" i="1"/>
  <c r="J20" i="1"/>
  <c r="J23" i="1"/>
  <c r="J37" i="1"/>
  <c r="D16" i="2"/>
  <c r="K23" i="1" s="1"/>
  <c r="D32" i="2"/>
  <c r="K39" i="1" s="1"/>
  <c r="D28" i="2"/>
  <c r="K35" i="1" s="1"/>
  <c r="D24" i="2"/>
  <c r="K31" i="1" s="1"/>
  <c r="D20" i="2"/>
  <c r="K27" i="1" s="1"/>
  <c r="D31" i="2"/>
  <c r="K38" i="1" s="1"/>
  <c r="D27" i="2"/>
  <c r="K34" i="1" s="1"/>
  <c r="D23" i="2"/>
  <c r="K30" i="1" s="1"/>
  <c r="D19" i="2"/>
  <c r="K26" i="1" s="1"/>
  <c r="D15" i="2"/>
  <c r="K22" i="1" s="1"/>
  <c r="D30" i="2"/>
  <c r="K37" i="1" s="1"/>
  <c r="D26" i="2"/>
  <c r="K33" i="1" s="1"/>
  <c r="D22" i="2"/>
  <c r="K29" i="1" s="1"/>
  <c r="D18" i="2"/>
  <c r="K25" i="1" s="1"/>
  <c r="D14" i="2"/>
  <c r="K21" i="1" s="1"/>
  <c r="D29" i="2"/>
  <c r="K36" i="1" s="1"/>
  <c r="D25" i="2"/>
  <c r="K32" i="1" s="1"/>
  <c r="D21" i="2"/>
  <c r="K28" i="1" s="1"/>
  <c r="D17" i="2"/>
  <c r="K24" i="1" s="1"/>
  <c r="D13" i="2"/>
  <c r="K20" i="1" s="1"/>
  <c r="P5" i="3" a="1"/>
  <c r="N4" i="3" a="1"/>
  <c r="O4" i="3" a="1"/>
  <c r="N6" i="3" a="1"/>
  <c r="O6" i="3" a="1"/>
  <c r="N9" i="3" a="1"/>
  <c r="O9" i="3" a="1"/>
  <c r="N5" i="3" a="1"/>
  <c r="O5" i="3" a="1"/>
  <c r="N8" i="3" a="1"/>
  <c r="O8" i="3" a="1"/>
  <c r="N7" i="3" a="1"/>
  <c r="O7" i="3" a="1"/>
  <c r="N3" i="3" a="1"/>
  <c r="O3" i="3" a="1"/>
  <c r="K4" i="3" a="1"/>
  <c r="K7" i="3" a="1"/>
  <c r="K6" i="3" a="1"/>
  <c r="K9" i="3" a="1"/>
  <c r="K5" i="3" a="1"/>
  <c r="K8" i="3" a="1"/>
  <c r="J7" i="3" a="1"/>
  <c r="D12" i="2" a="1"/>
  <c r="J5" i="3" a="1"/>
  <c r="J3" i="3" a="1"/>
  <c r="J8" i="3" a="1"/>
  <c r="J4" i="3" a="1"/>
  <c r="J9" i="3" a="1"/>
  <c r="J6" i="3" a="1"/>
  <c r="P5" i="3" l="1"/>
  <c r="O3" i="3"/>
  <c r="N3" i="3"/>
  <c r="O7" i="3"/>
  <c r="N7" i="3"/>
  <c r="O8" i="3"/>
  <c r="N8" i="3"/>
  <c r="O5" i="3"/>
  <c r="N5" i="3"/>
  <c r="O9" i="3"/>
  <c r="N9" i="3"/>
  <c r="O6" i="3"/>
  <c r="N6" i="3"/>
  <c r="O4" i="3"/>
  <c r="N4" i="3"/>
  <c r="K8" i="3"/>
  <c r="K5" i="3"/>
  <c r="K9" i="3"/>
  <c r="K6" i="3"/>
  <c r="K7" i="3"/>
  <c r="K4" i="3"/>
  <c r="J4" i="3"/>
  <c r="J9" i="3"/>
  <c r="J7" i="3"/>
  <c r="J8" i="3"/>
  <c r="J5" i="3"/>
  <c r="J6" i="3"/>
  <c r="J3" i="3"/>
  <c r="D12" i="2"/>
  <c r="K19" i="1" s="1"/>
  <c r="J19" i="1"/>
  <c r="P6" i="3" a="1"/>
  <c r="P6" i="3" l="1"/>
  <c r="P7" i="3" a="1"/>
  <c r="P7" i="3" l="1"/>
  <c r="P8" i="3" a="1"/>
  <c r="P8" i="3" l="1"/>
  <c r="P9" i="3" a="1"/>
  <c r="P9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<sst xmlns="http://schemas.openxmlformats.org/spreadsheetml/2006/main" count="76" uniqueCount="66">
  <si>
    <t>Relátorio de Projeto Final</t>
  </si>
  <si>
    <t>EPET060 - Eng. Reservatórios 2</t>
  </si>
  <si>
    <t>Prof. Jonathan da C. Teixeira</t>
  </si>
  <si>
    <t>Semestre</t>
  </si>
  <si>
    <t>2024/02</t>
  </si>
  <si>
    <t>Acadêmicas(os):</t>
  </si>
  <si>
    <t>Alan Mathison Turing</t>
  </si>
  <si>
    <t>e-mail(s):</t>
  </si>
  <si>
    <t>alanm.turing@math.edu</t>
  </si>
  <si>
    <t>matricula(s):</t>
  </si>
  <si>
    <t>John Locke</t>
  </si>
  <si>
    <t>Friedrich Hayek</t>
  </si>
  <si>
    <t>john.nash@mgame.edu</t>
  </si>
  <si>
    <t xml:space="preserve">John Nash </t>
  </si>
  <si>
    <t>fried.hayek@lib.edu</t>
  </si>
  <si>
    <t>john.lock@free.dom.uk</t>
  </si>
  <si>
    <t>Respostas</t>
  </si>
  <si>
    <t>Entradas/Dados</t>
  </si>
  <si>
    <t>API</t>
  </si>
  <si>
    <t>Parâmetros</t>
  </si>
  <si>
    <t>Unidades</t>
  </si>
  <si>
    <t>[-]</t>
  </si>
  <si>
    <t>SGgás</t>
  </si>
  <si>
    <t>T</t>
  </si>
  <si>
    <t>[°F]</t>
  </si>
  <si>
    <t>Pbolha</t>
  </si>
  <si>
    <t>[psia]</t>
  </si>
  <si>
    <t>Pressão</t>
  </si>
  <si>
    <t>Rs [scf/stb]</t>
  </si>
  <si>
    <t>Valores</t>
  </si>
  <si>
    <t>Para visualizar as funções implementadas digite Alt+F11</t>
  </si>
  <si>
    <t>Curva PVT</t>
  </si>
  <si>
    <t>MAX</t>
  </si>
  <si>
    <t>MIN</t>
  </si>
  <si>
    <t>NPOINTS</t>
  </si>
  <si>
    <t>Tabela &gt;&gt;&gt;&gt;&gt;&gt;&gt;</t>
  </si>
  <si>
    <t>Pressão [psia]</t>
  </si>
  <si>
    <r>
      <t xml:space="preserve">&lt;&lt;&lt;&lt;&lt; Precisa estar vinculada </t>
    </r>
    <r>
      <rPr>
        <b/>
        <sz val="11"/>
        <color rgb="FFFF0000"/>
        <rFont val="Aptos Narrow"/>
        <family val="2"/>
        <scheme val="minor"/>
      </rPr>
      <t>A MESMA PLANILHA!!</t>
    </r>
  </si>
  <si>
    <t>Atividade 1: Curvas PVTs</t>
  </si>
  <si>
    <t>Atividade 2: Cálculo do influxo</t>
  </si>
  <si>
    <t>Porosidade</t>
  </si>
  <si>
    <t>visc. Água</t>
  </si>
  <si>
    <t>[cp</t>
  </si>
  <si>
    <t>Ângulo</t>
  </si>
  <si>
    <t>[°]</t>
  </si>
  <si>
    <t>Permeab.</t>
  </si>
  <si>
    <t>[mD]</t>
  </si>
  <si>
    <t>[1/psia]</t>
  </si>
  <si>
    <t>espessura</t>
  </si>
  <si>
    <t>[pés]</t>
  </si>
  <si>
    <t>raio ext.</t>
  </si>
  <si>
    <t>tempo (dias)</t>
  </si>
  <si>
    <t>∆pi (psia)</t>
  </si>
  <si>
    <t>compress. Total</t>
  </si>
  <si>
    <r>
      <t>t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 xml:space="preserve"> (-)</t>
    </r>
  </si>
  <si>
    <r>
      <t>W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>(-)</t>
    </r>
  </si>
  <si>
    <r>
      <rPr>
        <b/>
        <sz val="11"/>
        <color rgb="FFFA7D00"/>
        <rFont val="Aptos Narrow"/>
        <family val="2"/>
      </rPr>
      <t>Σ</t>
    </r>
    <r>
      <rPr>
        <b/>
        <sz val="11"/>
        <color rgb="FFFA7D00"/>
        <rFont val="Aptos Narrow"/>
        <family val="2"/>
        <scheme val="minor"/>
      </rPr>
      <t>U*∆pi*W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>(</t>
    </r>
    <r>
      <rPr>
        <b/>
        <sz val="11"/>
        <color rgb="FFFA7D00"/>
        <rFont val="Aptos Narrow"/>
        <family val="2"/>
      </rPr>
      <t>∆</t>
    </r>
    <r>
      <rPr>
        <b/>
        <sz val="11"/>
        <color rgb="FFFA7D00"/>
        <rFont val="Aptos Narrow"/>
        <family val="2"/>
        <scheme val="minor"/>
      </rPr>
      <t>tDi)</t>
    </r>
  </si>
  <si>
    <t>U aquífero</t>
  </si>
  <si>
    <t>[bbl/psi]</t>
  </si>
  <si>
    <t>Carter-Tracy</t>
  </si>
  <si>
    <r>
      <t>∆p</t>
    </r>
    <r>
      <rPr>
        <b/>
        <vertAlign val="subscript"/>
        <sz val="11"/>
        <color rgb="FFFA7D00"/>
        <rFont val="Aptos Narrow"/>
        <family val="2"/>
        <scheme val="minor"/>
      </rPr>
      <t>o</t>
    </r>
    <r>
      <rPr>
        <b/>
        <sz val="11"/>
        <color rgb="FFFA7D00"/>
        <rFont val="Aptos Narrow"/>
        <family val="2"/>
        <scheme val="minor"/>
      </rPr>
      <t xml:space="preserve"> (psia)</t>
    </r>
  </si>
  <si>
    <t>pD(tD)</t>
  </si>
  <si>
    <t>pD'(tD)</t>
  </si>
  <si>
    <t>We (rb)</t>
  </si>
  <si>
    <t>pressão (psia)</t>
  </si>
  <si>
    <t xml:space="preserve">VEH ~ van Everdingen &amp; Hurst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</si>
</sst>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u val="double"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</font>
    <font>
      <sz val="8"/>
      <name val="Aptos Narrow"/>
      <family val="2"/>
      <scheme val="minor"/>
    </font>
    <font>
      <sz val="10"/>
      <name val="Aptos Narrow"/>
      <family val="2"/>
    </font>
    <font>
      <b/>
      <sz val="16"/>
      <color theme="1"/>
      <name val="Aptos Narrow"/>
      <family val="2"/>
      <scheme val="minor"/>
    </font>
    <font>
      <u val="double"/>
      <sz val="2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vertAlign val="subscript"/>
      <sz val="11"/>
      <color rgb="FFFA7D00"/>
      <name val="Aptos Narrow"/>
      <family val="2"/>
      <scheme val="minor"/>
    </font>
    <font>
      <b/>
      <sz val="11"/>
      <color rgb="FFFA7D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5" fillId="0" borderId="0" applyNumberFormat="0" applyFill="0" applyBorder="0" applyAlignment="0" applyProtection="0"/>
    <xf numFmtId="0" fontId="12" fillId="5" borderId="1" applyNumberFormat="0" applyAlignment="0" applyProtection="0"/>
  </cellStyleXfs>
  <cellXfs count="30">
    <xf numFmtId="0" fontId="0" fillId="0" borderId="0" xfId="0"/>
    <xf numFmtId="0" fontId="3" fillId="0" borderId="0" xfId="0" applyFont="1"/>
    <xf numFmtId="0" fontId="4" fillId="0" borderId="0" xfId="0" applyFont="1"/>
    <xf numFmtId="164" fontId="6" fillId="4" borderId="3" xfId="0" applyNumberFormat="1" applyFont="1" applyFill="1" applyBorder="1" applyAlignment="1">
      <alignment horizontal="center" vertical="center"/>
    </xf>
    <xf numFmtId="164" fontId="8" fillId="4" borderId="4" xfId="0" applyNumberFormat="1" applyFont="1" applyFill="1" applyBorder="1" applyAlignment="1">
      <alignment horizontal="left" vertical="center"/>
    </xf>
    <xf numFmtId="164" fontId="8" fillId="4" borderId="4" xfId="0" applyNumberFormat="1" applyFont="1" applyFill="1" applyBorder="1" applyAlignment="1">
      <alignment horizontal="center" vertical="center"/>
    </xf>
    <xf numFmtId="164" fontId="8" fillId="4" borderId="6" xfId="0" applyNumberFormat="1" applyFont="1" applyFill="1" applyBorder="1" applyAlignment="1">
      <alignment horizontal="center" vertical="center"/>
    </xf>
    <xf numFmtId="164" fontId="8" fillId="4" borderId="6" xfId="0" applyNumberFormat="1" applyFont="1" applyFill="1" applyBorder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" fontId="8" fillId="4" borderId="6" xfId="0" applyNumberFormat="1" applyFont="1" applyFill="1" applyBorder="1" applyAlignment="1">
      <alignment horizontal="left" vertical="center"/>
    </xf>
    <xf numFmtId="1" fontId="8" fillId="0" borderId="0" xfId="0" applyNumberFormat="1" applyFont="1" applyAlignment="1">
      <alignment horizontal="left" vertical="center"/>
    </xf>
    <xf numFmtId="164" fontId="5" fillId="4" borderId="4" xfId="3" applyNumberFormat="1" applyFill="1" applyBorder="1" applyAlignment="1">
      <alignment horizontal="left" vertical="center"/>
    </xf>
    <xf numFmtId="0" fontId="10" fillId="0" borderId="0" xfId="0" applyFont="1"/>
    <xf numFmtId="0" fontId="0" fillId="0" borderId="8" xfId="0" applyBorder="1"/>
    <xf numFmtId="0" fontId="0" fillId="0" borderId="5" xfId="0" applyBorder="1"/>
    <xf numFmtId="0" fontId="0" fillId="3" borderId="2" xfId="2" applyFont="1"/>
    <xf numFmtId="0" fontId="2" fillId="2" borderId="1" xfId="1"/>
    <xf numFmtId="0" fontId="2" fillId="0" borderId="0" xfId="1" applyFill="1" applyBorder="1"/>
    <xf numFmtId="165" fontId="0" fillId="0" borderId="0" xfId="0" applyNumberFormat="1"/>
    <xf numFmtId="11" fontId="0" fillId="0" borderId="8" xfId="0" applyNumberFormat="1" applyBorder="1"/>
    <xf numFmtId="0" fontId="2" fillId="2" borderId="1" xfId="1" applyAlignment="1">
      <alignment horizontal="right" vertical="center" wrapText="1"/>
    </xf>
    <xf numFmtId="0" fontId="12" fillId="5" borderId="1" xfId="4"/>
    <xf numFmtId="0" fontId="2" fillId="2" borderId="1" xfId="1" applyAlignment="1">
      <alignment vertical="center"/>
    </xf>
    <xf numFmtId="0" fontId="0" fillId="0" borderId="0" xfId="0" applyAlignment="1">
      <alignment vertical="center"/>
    </xf>
    <xf numFmtId="0" fontId="12" fillId="5" borderId="1" xfId="4" applyAlignment="1">
      <alignment vertical="center"/>
    </xf>
    <xf numFmtId="2" fontId="2" fillId="2" borderId="1" xfId="1" applyNumberFormat="1" applyAlignment="1">
      <alignment horizontal="right" vertical="center" wrapText="1"/>
    </xf>
    <xf numFmtId="2" fontId="12" fillId="5" borderId="1" xfId="4" applyNumberFormat="1"/>
    <xf numFmtId="0" fontId="9" fillId="0" borderId="7" xfId="0" applyFont="1" applyBorder="1" applyAlignment="1">
      <alignment horizontal="left"/>
    </xf>
    <xf numFmtId="0" fontId="0" fillId="0" borderId="9" xfId="0" applyBorder="1" applyAlignment="1">
      <alignment horizontal="center"/>
    </xf>
  </cellXfs>
  <cellStyles count="5">
    <cellStyle name="Cálculo" xfId="4" builtinId="22"/>
    <cellStyle name="Entrada" xfId="1" builtinId="20"/>
    <cellStyle name="Hiperlink" xfId="3" builtinId="8"/>
    <cellStyle name="Normal" xfId="0" builtinId="0"/>
    <cellStyle name="Nota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Calcs!$D$11</c:f>
              <c:strCache>
                <c:ptCount val="1"/>
                <c:pt idx="0">
                  <c:v>Rs [scf/stb]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Calcs!$C$12:$C$61</c:f>
              <c:numCache>
                <c:formatCode>General</c:formatCode>
                <c:ptCount val="50"/>
                <c:pt idx="0">
                  <c:v>500</c:v>
                </c:pt>
                <c:pt idx="1">
                  <c:v>640.97619047619048</c:v>
                </c:pt>
                <c:pt idx="2">
                  <c:v>781.95238095238096</c:v>
                </c:pt>
                <c:pt idx="3">
                  <c:v>922.92857142857144</c:v>
                </c:pt>
                <c:pt idx="4">
                  <c:v>1063.9047619047619</c:v>
                </c:pt>
                <c:pt idx="5">
                  <c:v>1204.8809523809523</c:v>
                </c:pt>
                <c:pt idx="6">
                  <c:v>1345.8571428571427</c:v>
                </c:pt>
                <c:pt idx="7">
                  <c:v>1486.833333333333</c:v>
                </c:pt>
                <c:pt idx="8">
                  <c:v>1627.8095238095234</c:v>
                </c:pt>
                <c:pt idx="9">
                  <c:v>1768.7857142857138</c:v>
                </c:pt>
                <c:pt idx="10">
                  <c:v>1909.7619047619041</c:v>
                </c:pt>
                <c:pt idx="11">
                  <c:v>2050.7380952380945</c:v>
                </c:pt>
                <c:pt idx="12">
                  <c:v>2191.7142857142849</c:v>
                </c:pt>
                <c:pt idx="13">
                  <c:v>2332.6904761904752</c:v>
                </c:pt>
                <c:pt idx="14">
                  <c:v>2473.6666666666656</c:v>
                </c:pt>
                <c:pt idx="15">
                  <c:v>2614.642857142856</c:v>
                </c:pt>
                <c:pt idx="16">
                  <c:v>2755.6190476190463</c:v>
                </c:pt>
                <c:pt idx="17">
                  <c:v>2896.5952380952367</c:v>
                </c:pt>
                <c:pt idx="18">
                  <c:v>3037.5714285714271</c:v>
                </c:pt>
                <c:pt idx="19">
                  <c:v>3178.5476190476174</c:v>
                </c:pt>
                <c:pt idx="20">
                  <c:v>3319.5238095238078</c:v>
                </c:pt>
              </c:numCache>
            </c:numRef>
          </c:xVal>
          <c:yVal>
            <c:numRef>
              <c:f>Calcs!$D$12:$D$61</c:f>
              <c:numCache>
                <c:formatCode>0.0000</c:formatCode>
                <c:ptCount val="50"/>
                <c:pt idx="0">
                  <c:v>75.172064735019845</c:v>
                </c:pt>
                <c:pt idx="1">
                  <c:v>101.3964185856864</c:v>
                </c:pt>
                <c:pt idx="2">
                  <c:v>128.83824334759655</c:v>
                </c:pt>
                <c:pt idx="3">
                  <c:v>157.31751048939537</c:v>
                </c:pt>
                <c:pt idx="4">
                  <c:v>186.70509774063586</c:v>
                </c:pt>
                <c:pt idx="5">
                  <c:v>216.90336000795767</c:v>
                </c:pt>
                <c:pt idx="6">
                  <c:v>247.83558230300775</c:v>
                </c:pt>
                <c:pt idx="7">
                  <c:v>279.43972635175487</c:v>
                </c:pt>
                <c:pt idx="8">
                  <c:v>311.66447292251621</c:v>
                </c:pt>
                <c:pt idx="9">
                  <c:v>344.46658755429991</c:v>
                </c:pt>
                <c:pt idx="10">
                  <c:v>377.80909521304238</c:v>
                </c:pt>
                <c:pt idx="11">
                  <c:v>411.65997321571194</c:v>
                </c:pt>
                <c:pt idx="12">
                  <c:v>445.99118928598534</c:v>
                </c:pt>
                <c:pt idx="13">
                  <c:v>480.77797700417818</c:v>
                </c:pt>
                <c:pt idx="14">
                  <c:v>512.69102402417479</c:v>
                </c:pt>
                <c:pt idx="15">
                  <c:v>512.69102402417479</c:v>
                </c:pt>
                <c:pt idx="16">
                  <c:v>512.69102402417479</c:v>
                </c:pt>
                <c:pt idx="17">
                  <c:v>512.69102402417479</c:v>
                </c:pt>
                <c:pt idx="18">
                  <c:v>512.69102402417479</c:v>
                </c:pt>
                <c:pt idx="19">
                  <c:v>512.69102402417479</c:v>
                </c:pt>
                <c:pt idx="20">
                  <c:v>512.69102402417479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F-479A-8EC0-6E9E17D7F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19536"/>
        <c:axId val="497310896"/>
      </c:scatterChart>
      <c:valAx>
        <c:axId val="49731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10896"/>
        <c:crosses val="autoZero"/>
        <c:crossBetween val="midCat"/>
      </c:valAx>
      <c:valAx>
        <c:axId val="49731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1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aquifer!$H$1</c:f>
              <c:strCache>
                <c:ptCount val="1"/>
                <c:pt idx="0">
                  <c:v>VEH ~ van Everdingen &amp; Hurst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aquifer!$G$3:$G$9</c:f>
              <c:numCache>
                <c:formatCode>0.00</c:formatCode>
                <c:ptCount val="7"/>
                <c:pt idx="0">
                  <c:v>3793</c:v>
                </c:pt>
                <c:pt idx="1">
                  <c:v>3788</c:v>
                </c:pt>
                <c:pt idx="2">
                  <c:v>3774</c:v>
                </c:pt>
                <c:pt idx="3">
                  <c:v>3748</c:v>
                </c:pt>
                <c:pt idx="4">
                  <c:v>3709</c:v>
                </c:pt>
                <c:pt idx="5">
                  <c:v>3680</c:v>
                </c:pt>
                <c:pt idx="6">
                  <c:v>3643</c:v>
                </c:pt>
              </c:numCache>
            </c:numRef>
          </c:xVal>
          <c:yVal>
            <c:numRef>
              <c:f>aquifer!$K$3:$K$9</c:f>
              <c:numCache>
                <c:formatCode>General</c:formatCode>
                <c:ptCount val="7"/>
                <c:pt idx="0">
                  <c:v>0</c:v>
                </c:pt>
                <c:pt idx="1">
                  <c:v>11514.16814539818</c:v>
                </c:pt>
                <c:pt idx="2">
                  <c:v>63015.750952105758</c:v>
                </c:pt>
                <c:pt idx="3">
                  <c:v>191017.37576411682</c:v>
                </c:pt>
                <c:pt idx="4">
                  <c:v>437024.96305337409</c:v>
                </c:pt>
                <c:pt idx="5">
                  <c:v>781606.59168911166</c:v>
                </c:pt>
                <c:pt idx="6">
                  <c:v>1212696.2276320688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5-4C99-9FCF-860EFACF4AE6}"/>
            </c:ext>
          </c:extLst>
        </c:ser>
        <c:ser>
          <c:idx val="1"/>
          <c:order val="1"/>
          <c:tx>
            <c:strRef>
              <c:f>aquifer!$M$1</c:f>
              <c:strCache>
                <c:ptCount val="1"/>
                <c:pt idx="0">
                  <c:v>Carter-Tracy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aquifer!$G$3:$G$9</c:f>
              <c:numCache>
                <c:formatCode>0.00</c:formatCode>
                <c:ptCount val="7"/>
                <c:pt idx="0">
                  <c:v>3793</c:v>
                </c:pt>
                <c:pt idx="1">
                  <c:v>3788</c:v>
                </c:pt>
                <c:pt idx="2">
                  <c:v>3774</c:v>
                </c:pt>
                <c:pt idx="3">
                  <c:v>3748</c:v>
                </c:pt>
                <c:pt idx="4">
                  <c:v>3709</c:v>
                </c:pt>
                <c:pt idx="5">
                  <c:v>3680</c:v>
                </c:pt>
                <c:pt idx="6">
                  <c:v>3643</c:v>
                </c:pt>
              </c:numCache>
            </c:numRef>
          </c:xVal>
          <c:yVal>
            <c:numRef>
              <c:f>aquifer!$P$3:$P$9</c:f>
              <c:numCache>
                <c:formatCode>General</c:formatCode>
                <c:ptCount val="7"/>
                <c:pt idx="0">
                  <c:v>0</c:v>
                </c:pt>
                <c:pt idx="1">
                  <c:v>18699.06082664038</c:v>
                </c:pt>
                <c:pt idx="2">
                  <c:v>84365.570517055021</c:v>
                </c:pt>
                <c:pt idx="3">
                  <c:v>229404.19861163117</c:v>
                </c:pt>
                <c:pt idx="4">
                  <c:v>489449.52244761819</c:v>
                </c:pt>
                <c:pt idx="5">
                  <c:v>819969.45074062957</c:v>
                </c:pt>
                <c:pt idx="6">
                  <c:v>1243521.4850282085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D-4BC6-8B9F-415BFB708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29760"/>
        <c:axId val="273822560"/>
      </c:scatterChart>
      <c:valAx>
        <c:axId val="27382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22560"/>
        <c:crosses val="autoZero"/>
        <c:crossBetween val="midCat"/>
        <c:majorUnit val="50"/>
      </c:valAx>
      <c:valAx>
        <c:axId val="27382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2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169545</xdr:colOff>
      <xdr:row>5</xdr:row>
      <xdr:rowOff>164465</xdr:rowOff>
    </xdr:from>
    <xdr:to>
      <xdr:col>13</xdr:col>
      <xdr:colOff>474345</xdr:colOff>
      <xdr:row>20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D7E1D0F-53A6-3A4F-5CB6-7E4726436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592455</xdr:colOff>
      <xdr:row>9</xdr:row>
      <xdr:rowOff>67652</xdr:rowOff>
    </xdr:from>
    <xdr:to>
      <xdr:col>10</xdr:col>
      <xdr:colOff>696400</xdr:colOff>
      <xdr:row>24</xdr:row>
      <xdr:rowOff>51044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58D5B4E-3824-EC28-7D74-D207385A3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fried.hayek@lib.edu" TargetMode="External"/><Relationship Id="rId2" Type="http://schemas.openxmlformats.org/officeDocument/2006/relationships/hyperlink" Target="mailto:john.nash@mgame.edu" TargetMode="External"/><Relationship Id="rId1" Type="http://schemas.openxmlformats.org/officeDocument/2006/relationships/hyperlink" Target="mailto:alanm.turing@math.edu" TargetMode="External"/><Relationship Id="rId4" Type="http://schemas.openxmlformats.org/officeDocument/2006/relationships/hyperlink" Target="mailto:john.lock@free.dom.u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5A70E-1F69-4AF1-8090-290C99240D15}">
  <sheetPr codeName="Planilha1"/>
  <dimension ref="B1:Q49"/>
  <sheetViews>
    <sheetView showGridLines="0" topLeftCell="A12" workbookViewId="0">
      <selection activeCell="M13" sqref="M13"/>
    </sheetView>
  </sheetViews>
  <sheetFormatPr defaultRowHeight="14.4" x14ac:dyDescent="0.3"/>
  <cols>
    <col min="1" max="1" width="0.77734375" customWidth="1"/>
    <col min="2" max="2" width="14.21875" customWidth="1"/>
    <col min="5" max="5" width="1" customWidth="1"/>
    <col min="9" max="9" width="0.6640625" customWidth="1"/>
    <col min="10" max="10" width="12.44140625" bestFit="1" customWidth="1"/>
    <col min="11" max="11" width="10.109375" customWidth="1"/>
  </cols>
  <sheetData>
    <row r="1" spans="2:17" ht="28.8" x14ac:dyDescent="0.55000000000000004">
      <c r="B1" s="1" t="s">
        <v>0</v>
      </c>
    </row>
    <row r="2" spans="2:17" ht="3.6" customHeight="1" x14ac:dyDescent="0.3"/>
    <row r="3" spans="2:17" x14ac:dyDescent="0.3">
      <c r="B3" s="2" t="s">
        <v>1</v>
      </c>
      <c r="G3" s="2" t="s">
        <v>2</v>
      </c>
      <c r="L3" t="s">
        <v>3</v>
      </c>
      <c r="M3" s="3" t="s">
        <v>4</v>
      </c>
    </row>
    <row r="4" spans="2:17" ht="3.6" customHeight="1" x14ac:dyDescent="0.3"/>
    <row r="5" spans="2:17" x14ac:dyDescent="0.3">
      <c r="B5" t="s">
        <v>5</v>
      </c>
      <c r="F5" t="s">
        <v>7</v>
      </c>
      <c r="J5" t="s">
        <v>9</v>
      </c>
    </row>
    <row r="6" spans="2:17" x14ac:dyDescent="0.3">
      <c r="B6" s="4" t="s">
        <v>6</v>
      </c>
      <c r="C6" s="5"/>
      <c r="D6" s="6"/>
      <c r="E6" s="8"/>
      <c r="F6" s="12" t="s">
        <v>8</v>
      </c>
      <c r="G6" s="4"/>
      <c r="H6" s="7"/>
      <c r="I6" s="9"/>
      <c r="J6" s="10">
        <v>12345678</v>
      </c>
      <c r="L6" s="16" t="s">
        <v>30</v>
      </c>
      <c r="M6" s="16"/>
      <c r="N6" s="16"/>
      <c r="O6" s="16"/>
      <c r="P6" s="16"/>
      <c r="Q6" s="16"/>
    </row>
    <row r="7" spans="2:17" ht="3.6" customHeight="1" x14ac:dyDescent="0.3">
      <c r="B7" s="9"/>
      <c r="C7" s="8"/>
      <c r="D7" s="8"/>
      <c r="E7" s="8"/>
      <c r="F7" s="9"/>
      <c r="G7" s="9"/>
      <c r="H7" s="9"/>
      <c r="I7" s="9"/>
      <c r="J7" s="11"/>
    </row>
    <row r="8" spans="2:17" x14ac:dyDescent="0.3">
      <c r="B8" s="4" t="s">
        <v>13</v>
      </c>
      <c r="C8" s="5"/>
      <c r="D8" s="6"/>
      <c r="E8" s="8"/>
      <c r="F8" s="12" t="s">
        <v>12</v>
      </c>
      <c r="G8" s="4"/>
      <c r="H8" s="7"/>
      <c r="I8" s="9"/>
      <c r="J8" s="10">
        <v>24356</v>
      </c>
    </row>
    <row r="9" spans="2:17" ht="3.6" customHeight="1" x14ac:dyDescent="0.3">
      <c r="B9" s="9"/>
      <c r="C9" s="8"/>
      <c r="D9" s="8"/>
      <c r="E9" s="8"/>
      <c r="F9" s="9"/>
      <c r="G9" s="9"/>
      <c r="H9" s="9"/>
      <c r="I9" s="9"/>
      <c r="J9" s="11"/>
    </row>
    <row r="10" spans="2:17" x14ac:dyDescent="0.3">
      <c r="B10" s="4" t="s">
        <v>11</v>
      </c>
      <c r="C10" s="5"/>
      <c r="D10" s="6"/>
      <c r="E10" s="8"/>
      <c r="F10" s="12" t="s">
        <v>14</v>
      </c>
      <c r="G10" s="4"/>
      <c r="H10" s="7"/>
      <c r="I10" s="9"/>
      <c r="J10" s="10">
        <v>5218334</v>
      </c>
    </row>
    <row r="11" spans="2:17" ht="3.6" customHeight="1" x14ac:dyDescent="0.3"/>
    <row r="12" spans="2:17" x14ac:dyDescent="0.3">
      <c r="B12" s="4" t="s">
        <v>10</v>
      </c>
      <c r="C12" s="4"/>
      <c r="D12" s="7"/>
      <c r="F12" s="12" t="s">
        <v>15</v>
      </c>
      <c r="G12" s="4"/>
      <c r="H12" s="7"/>
      <c r="J12" s="10">
        <v>1365479</v>
      </c>
    </row>
    <row r="15" spans="2:17" ht="21.6" thickBot="1" x14ac:dyDescent="0.45">
      <c r="B15" s="28" t="s">
        <v>38</v>
      </c>
      <c r="C15" s="28"/>
      <c r="D15" s="28"/>
      <c r="E15" s="28"/>
      <c r="F15" s="28"/>
      <c r="G15" s="28"/>
      <c r="H15" s="28"/>
      <c r="I15" s="28"/>
      <c r="J15" s="28"/>
      <c r="K15" s="28"/>
    </row>
    <row r="16" spans="2:17" ht="29.4" thickTop="1" x14ac:dyDescent="0.55000000000000004">
      <c r="B16" s="13" t="s">
        <v>17</v>
      </c>
      <c r="J16" s="13" t="s">
        <v>16</v>
      </c>
    </row>
    <row r="17" spans="2:13" x14ac:dyDescent="0.3">
      <c r="B17" s="14" t="s">
        <v>19</v>
      </c>
      <c r="C17" s="14" t="s">
        <v>29</v>
      </c>
      <c r="D17" s="14" t="s">
        <v>20</v>
      </c>
      <c r="J17" s="15"/>
      <c r="K17" s="15"/>
      <c r="L17" s="15"/>
      <c r="M17" s="15"/>
    </row>
    <row r="18" spans="2:13" x14ac:dyDescent="0.3">
      <c r="B18" s="14" t="s">
        <v>18</v>
      </c>
      <c r="C18" s="14">
        <v>32.5</v>
      </c>
      <c r="D18" s="14" t="s">
        <v>21</v>
      </c>
      <c r="J18" t="str">
        <f>Calcs!C11</f>
        <v>Pressão [psia]</v>
      </c>
      <c r="K18" t="str">
        <f>Calcs!D11</f>
        <v>Rs [scf/stb]</v>
      </c>
      <c r="L18" t="s">
        <v>37</v>
      </c>
    </row>
    <row r="19" spans="2:13" x14ac:dyDescent="0.3">
      <c r="B19" s="14" t="s">
        <v>22</v>
      </c>
      <c r="C19" s="14">
        <v>0.64</v>
      </c>
      <c r="D19" s="14" t="s">
        <v>21</v>
      </c>
      <c r="J19">
        <f>Calcs!C12</f>
        <v>500</v>
      </c>
      <c r="K19">
        <f>Calcs!D12</f>
        <v>75.172064735019845</v>
      </c>
    </row>
    <row r="20" spans="2:13" x14ac:dyDescent="0.3">
      <c r="B20" s="14" t="s">
        <v>23</v>
      </c>
      <c r="C20" s="14">
        <v>145</v>
      </c>
      <c r="D20" s="14" t="s">
        <v>24</v>
      </c>
      <c r="J20">
        <f>Calcs!C13</f>
        <v>640.97619047619048</v>
      </c>
      <c r="K20">
        <f>Calcs!D13</f>
        <v>101.3964185856864</v>
      </c>
    </row>
    <row r="21" spans="2:13" x14ac:dyDescent="0.3">
      <c r="B21" s="14" t="s">
        <v>25</v>
      </c>
      <c r="C21" s="14">
        <v>2460.5</v>
      </c>
      <c r="D21" s="14" t="s">
        <v>26</v>
      </c>
      <c r="J21">
        <f>Calcs!C14</f>
        <v>781.95238095238096</v>
      </c>
      <c r="K21">
        <f>Calcs!D14</f>
        <v>128.83824334759655</v>
      </c>
    </row>
    <row r="22" spans="2:13" x14ac:dyDescent="0.3">
      <c r="J22">
        <f>Calcs!C15</f>
        <v>922.92857142857144</v>
      </c>
      <c r="K22">
        <f>Calcs!D15</f>
        <v>157.31751048939537</v>
      </c>
    </row>
    <row r="23" spans="2:13" x14ac:dyDescent="0.3">
      <c r="J23">
        <f>Calcs!C16</f>
        <v>1063.9047619047619</v>
      </c>
      <c r="K23">
        <f>Calcs!D16</f>
        <v>186.70509774063586</v>
      </c>
    </row>
    <row r="24" spans="2:13" x14ac:dyDescent="0.3">
      <c r="J24">
        <f>Calcs!C17</f>
        <v>1204.8809523809523</v>
      </c>
      <c r="K24">
        <f>Calcs!D17</f>
        <v>216.90336000795767</v>
      </c>
    </row>
    <row r="25" spans="2:13" x14ac:dyDescent="0.3">
      <c r="J25">
        <f>Calcs!C18</f>
        <v>1345.8571428571427</v>
      </c>
      <c r="K25">
        <f>Calcs!D18</f>
        <v>247.83558230300775</v>
      </c>
    </row>
    <row r="26" spans="2:13" x14ac:dyDescent="0.3">
      <c r="J26">
        <f>Calcs!C19</f>
        <v>1486.833333333333</v>
      </c>
      <c r="K26">
        <f>Calcs!D19</f>
        <v>279.43972635175487</v>
      </c>
    </row>
    <row r="27" spans="2:13" x14ac:dyDescent="0.3">
      <c r="J27">
        <f>Calcs!C20</f>
        <v>1627.8095238095234</v>
      </c>
      <c r="K27">
        <f>Calcs!D20</f>
        <v>311.66447292251621</v>
      </c>
    </row>
    <row r="28" spans="2:13" x14ac:dyDescent="0.3">
      <c r="J28">
        <f>Calcs!C21</f>
        <v>1768.7857142857138</v>
      </c>
      <c r="K28">
        <f>Calcs!D21</f>
        <v>344.46658755429991</v>
      </c>
    </row>
    <row r="29" spans="2:13" x14ac:dyDescent="0.3">
      <c r="J29">
        <f>Calcs!C22</f>
        <v>1909.7619047619041</v>
      </c>
      <c r="K29">
        <f>Calcs!D22</f>
        <v>377.80909521304238</v>
      </c>
    </row>
    <row r="30" spans="2:13" x14ac:dyDescent="0.3">
      <c r="J30">
        <f>Calcs!C23</f>
        <v>2050.7380952380945</v>
      </c>
      <c r="K30">
        <f>Calcs!D23</f>
        <v>411.65997321571194</v>
      </c>
    </row>
    <row r="31" spans="2:13" x14ac:dyDescent="0.3">
      <c r="J31">
        <f>Calcs!C24</f>
        <v>2191.7142857142849</v>
      </c>
      <c r="K31">
        <f>Calcs!D24</f>
        <v>445.99118928598534</v>
      </c>
    </row>
    <row r="32" spans="2:13" x14ac:dyDescent="0.3">
      <c r="J32">
        <f>Calcs!C25</f>
        <v>2332.6904761904752</v>
      </c>
      <c r="K32">
        <f>Calcs!D25</f>
        <v>480.77797700417818</v>
      </c>
    </row>
    <row r="33" spans="2:13" x14ac:dyDescent="0.3">
      <c r="J33">
        <f>Calcs!C26</f>
        <v>2473.6666666666656</v>
      </c>
      <c r="K33">
        <f>Calcs!D26</f>
        <v>512.69102402417479</v>
      </c>
    </row>
    <row r="34" spans="2:13" x14ac:dyDescent="0.3">
      <c r="J34">
        <f>Calcs!C27</f>
        <v>2614.642857142856</v>
      </c>
      <c r="K34">
        <f>Calcs!D27</f>
        <v>512.69102402417479</v>
      </c>
    </row>
    <row r="35" spans="2:13" x14ac:dyDescent="0.3">
      <c r="J35">
        <f>Calcs!C28</f>
        <v>2755.6190476190463</v>
      </c>
      <c r="K35">
        <f>Calcs!D28</f>
        <v>512.69102402417479</v>
      </c>
    </row>
    <row r="36" spans="2:13" x14ac:dyDescent="0.3">
      <c r="J36">
        <f>Calcs!C29</f>
        <v>2896.5952380952367</v>
      </c>
      <c r="K36">
        <f>Calcs!D29</f>
        <v>512.69102402417479</v>
      </c>
    </row>
    <row r="37" spans="2:13" x14ac:dyDescent="0.3">
      <c r="J37">
        <f>Calcs!C30</f>
        <v>3037.5714285714271</v>
      </c>
      <c r="K37">
        <f>Calcs!D30</f>
        <v>512.69102402417479</v>
      </c>
    </row>
    <row r="38" spans="2:13" x14ac:dyDescent="0.3">
      <c r="J38">
        <f>Calcs!C31</f>
        <v>3178.5476190476174</v>
      </c>
      <c r="K38">
        <f>Calcs!D31</f>
        <v>512.69102402417479</v>
      </c>
    </row>
    <row r="39" spans="2:13" x14ac:dyDescent="0.3">
      <c r="J39">
        <f>Calcs!C32</f>
        <v>3319.5238095238078</v>
      </c>
      <c r="K39">
        <f>Calcs!D32</f>
        <v>512.69102402417479</v>
      </c>
    </row>
    <row r="40" spans="2:13" ht="21.6" thickBot="1" x14ac:dyDescent="0.45">
      <c r="B40" s="28" t="s">
        <v>39</v>
      </c>
      <c r="C40" s="28"/>
      <c r="D40" s="28"/>
      <c r="E40" s="28"/>
      <c r="F40" s="28"/>
      <c r="G40" s="28"/>
      <c r="H40" s="28"/>
      <c r="I40" s="28"/>
      <c r="J40" s="28"/>
      <c r="K40" s="28"/>
    </row>
    <row r="41" spans="2:13" ht="29.4" thickTop="1" x14ac:dyDescent="0.55000000000000004">
      <c r="B41" s="13" t="s">
        <v>17</v>
      </c>
      <c r="J41" s="13" t="s">
        <v>16</v>
      </c>
    </row>
    <row r="42" spans="2:13" x14ac:dyDescent="0.3">
      <c r="B42" s="14" t="s">
        <v>19</v>
      </c>
      <c r="C42" s="14" t="s">
        <v>29</v>
      </c>
      <c r="D42" s="14" t="s">
        <v>20</v>
      </c>
      <c r="J42" s="15" t="str">
        <f>aquifer!G2</f>
        <v>pressão (psia)</v>
      </c>
      <c r="K42" s="15" t="str">
        <f>aquifer!H1</f>
        <v xml:space="preserve">VEH ~ van Everdingen &amp; Hurst </v>
      </c>
      <c r="L42" t="str">
        <f>aquifer!M1</f>
        <v>Carter-Tracy</v>
      </c>
    </row>
    <row r="43" spans="2:13" x14ac:dyDescent="0.3">
      <c r="B43" s="14" t="s">
        <v>40</v>
      </c>
      <c r="C43" s="14">
        <v>0.20899999999999999</v>
      </c>
      <c r="D43" s="14" t="s">
        <v>21</v>
      </c>
      <c r="J43">
        <f>aquifer!G3</f>
        <v>3793</v>
      </c>
      <c r="K43">
        <f>aquifer!K3</f>
        <v>0</v>
      </c>
      <c r="L43">
        <f>aquifer!P3</f>
        <v>0</v>
      </c>
      <c r="M43" t="s">
        <v>37</v>
      </c>
    </row>
    <row r="44" spans="2:13" x14ac:dyDescent="0.3">
      <c r="B44" s="14" t="s">
        <v>41</v>
      </c>
      <c r="C44" s="14">
        <v>0.25</v>
      </c>
      <c r="D44" s="14" t="s">
        <v>42</v>
      </c>
      <c r="J44">
        <f>aquifer!G4</f>
        <v>3788</v>
      </c>
      <c r="K44">
        <f>aquifer!K4</f>
        <v>11514.16814539818</v>
      </c>
      <c r="L44">
        <f>aquifer!P4</f>
        <v>18699.06082664038</v>
      </c>
    </row>
    <row r="45" spans="2:13" x14ac:dyDescent="0.3">
      <c r="B45" s="14" t="s">
        <v>43</v>
      </c>
      <c r="C45" s="14">
        <v>180</v>
      </c>
      <c r="D45" s="14" t="s">
        <v>44</v>
      </c>
      <c r="J45">
        <f>aquifer!G5</f>
        <v>3774</v>
      </c>
      <c r="K45">
        <f>aquifer!K5</f>
        <v>63015.750952105758</v>
      </c>
      <c r="L45">
        <f>aquifer!P5</f>
        <v>84365.570517055021</v>
      </c>
    </row>
    <row r="46" spans="2:13" x14ac:dyDescent="0.3">
      <c r="B46" s="14" t="s">
        <v>45</v>
      </c>
      <c r="C46" s="14">
        <v>275</v>
      </c>
      <c r="D46" s="14" t="s">
        <v>46</v>
      </c>
      <c r="J46">
        <f>aquifer!G6</f>
        <v>3748</v>
      </c>
      <c r="K46">
        <f>aquifer!K6</f>
        <v>191017.37576411682</v>
      </c>
      <c r="L46">
        <f>aquifer!P6</f>
        <v>229404.19861163117</v>
      </c>
    </row>
    <row r="47" spans="2:13" x14ac:dyDescent="0.3">
      <c r="B47" s="14" t="s">
        <v>53</v>
      </c>
      <c r="C47" s="20">
        <v>6.0000000000000002E-6</v>
      </c>
      <c r="D47" s="14" t="s">
        <v>47</v>
      </c>
      <c r="J47">
        <f>aquifer!G7</f>
        <v>3709</v>
      </c>
      <c r="K47">
        <f>aquifer!K7</f>
        <v>437024.96305337409</v>
      </c>
      <c r="L47">
        <f>aquifer!P7</f>
        <v>489449.52244761819</v>
      </c>
    </row>
    <row r="48" spans="2:13" x14ac:dyDescent="0.3">
      <c r="B48" s="14" t="s">
        <v>48</v>
      </c>
      <c r="C48" s="14">
        <v>19.2</v>
      </c>
      <c r="D48" s="14" t="s">
        <v>49</v>
      </c>
      <c r="J48">
        <f>aquifer!G8</f>
        <v>3680</v>
      </c>
      <c r="K48">
        <f>aquifer!K8</f>
        <v>781606.59168911166</v>
      </c>
      <c r="L48">
        <f>aquifer!P8</f>
        <v>819969.45074062957</v>
      </c>
    </row>
    <row r="49" spans="2:12" x14ac:dyDescent="0.3">
      <c r="B49" s="14" t="s">
        <v>50</v>
      </c>
      <c r="C49" s="14">
        <v>5807</v>
      </c>
      <c r="D49" s="14" t="s">
        <v>49</v>
      </c>
      <c r="J49">
        <f>aquifer!G9</f>
        <v>3643</v>
      </c>
      <c r="K49">
        <f>aquifer!K9</f>
        <v>1212696.2276320688</v>
      </c>
      <c r="L49">
        <f>aquifer!P9</f>
        <v>1243521.4850282085</v>
      </c>
    </row>
  </sheetData>
  <mergeCells count="2">
    <mergeCell ref="B15:K15"/>
    <mergeCell ref="B40:K40"/>
  </mergeCells>
  <phoneticPr fontId="7" type="noConversion"/>
  <hyperlinks>
    <hyperlink ref="F6" r:id="rId1" xr:uid="{982AEE8C-EED1-44D8-B342-A9467222F741}"/>
    <hyperlink ref="F8" r:id="rId2" xr:uid="{6052E3F2-D4CE-40A0-861B-F5345A5F9D66}"/>
    <hyperlink ref="F10" r:id="rId3" xr:uid="{EFD812FC-0164-4E31-9EF9-FB09B646BB41}"/>
    <hyperlink ref="F12" r:id="rId4" xr:uid="{DC83991B-A3CE-4DF1-B2BB-32D3EBF856FA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222C-5CB8-40CC-B798-EF41DF6C9329}">
  <sheetPr codeName="Planilha2"/>
  <dimension ref="B2:J61"/>
  <sheetViews>
    <sheetView workbookViewId="0">
      <selection activeCell="G59" sqref="G59"/>
    </sheetView>
  </sheetViews>
  <sheetFormatPr defaultRowHeight="14.4" x14ac:dyDescent="0.3"/>
  <cols>
    <col min="1" max="1" width="1.21875" customWidth="1"/>
    <col min="2" max="2" width="16.5546875" bestFit="1" customWidth="1"/>
    <col min="3" max="3" width="12.44140625" bestFit="1" customWidth="1"/>
    <col min="4" max="4" width="11.6640625" customWidth="1"/>
  </cols>
  <sheetData>
    <row r="2" spans="2:10" x14ac:dyDescent="0.3">
      <c r="B2" t="s">
        <v>31</v>
      </c>
    </row>
    <row r="4" spans="2:10" x14ac:dyDescent="0.3">
      <c r="B4" s="17" t="str">
        <f>Capa!B17</f>
        <v>Parâmetros</v>
      </c>
      <c r="C4" s="17" t="str">
        <f>Capa!C17</f>
        <v>Valores</v>
      </c>
      <c r="D4" s="17" t="str">
        <f>Capa!D17</f>
        <v>Unidades</v>
      </c>
      <c r="H4" s="17" t="s">
        <v>32</v>
      </c>
      <c r="I4" s="17" t="s">
        <v>33</v>
      </c>
      <c r="J4" s="17" t="s">
        <v>34</v>
      </c>
    </row>
    <row r="5" spans="2:10" x14ac:dyDescent="0.3">
      <c r="B5" s="17" t="str">
        <f>Capa!B18</f>
        <v>API</v>
      </c>
      <c r="C5" s="17">
        <f>Capa!C18</f>
        <v>32.5</v>
      </c>
      <c r="D5" s="17" t="str">
        <f>Capa!D18</f>
        <v>[-]</v>
      </c>
      <c r="F5" s="17" t="s">
        <v>27</v>
      </c>
      <c r="G5" s="17" t="s">
        <v>26</v>
      </c>
      <c r="H5" s="17">
        <f>1000+C8</f>
        <v>3460.5</v>
      </c>
      <c r="I5" s="17">
        <v>500</v>
      </c>
      <c r="J5" s="17">
        <v>21</v>
      </c>
    </row>
    <row r="6" spans="2:10" x14ac:dyDescent="0.3">
      <c r="B6" s="17" t="str">
        <f>Capa!B19</f>
        <v>SGgás</v>
      </c>
      <c r="C6" s="17">
        <f>Capa!C19</f>
        <v>0.64</v>
      </c>
      <c r="D6" s="17" t="str">
        <f>Capa!D19</f>
        <v>[-]</v>
      </c>
      <c r="F6" s="18"/>
      <c r="G6" s="18"/>
      <c r="H6" s="18"/>
      <c r="I6" s="18"/>
      <c r="J6" s="18"/>
    </row>
    <row r="7" spans="2:10" x14ac:dyDescent="0.3">
      <c r="B7" s="17" t="str">
        <f>Capa!B20</f>
        <v>T</v>
      </c>
      <c r="C7" s="17">
        <f>Capa!C20</f>
        <v>145</v>
      </c>
      <c r="D7" s="17" t="str">
        <f>Capa!D20</f>
        <v>[°F]</v>
      </c>
    </row>
    <row r="8" spans="2:10" x14ac:dyDescent="0.3">
      <c r="B8" s="17" t="str">
        <f>Capa!B21</f>
        <v>Pbolha</v>
      </c>
      <c r="C8" s="17">
        <f>Capa!C21</f>
        <v>2460.5</v>
      </c>
      <c r="D8" s="17" t="str">
        <f>Capa!D21</f>
        <v>[psia]</v>
      </c>
    </row>
    <row r="11" spans="2:10" x14ac:dyDescent="0.3">
      <c r="B11" t="s">
        <v>35</v>
      </c>
      <c r="C11" t="s">
        <v>36</v>
      </c>
      <c r="D11" t="s">
        <v>28</v>
      </c>
    </row>
    <row r="12" spans="2:10" x14ac:dyDescent="0.3">
      <c r="C12" cm="1">
        <f t="array" ref="C12:C32">_xlfn.SEQUENCE(J5,1,I5,(H5-I5)/J5)</f>
        <v>500</v>
      </c>
      <c r="D12" s="19" cm="1">
        <f t="array" ref="D12">IF(C12&lt;=$C$8,Rs($C$6,$C$5,C12,$C$7,1),Rs($C$6,$C$5,$C$8,$C$7,1))</f>
        <v>75.172064735019845</v>
      </c>
    </row>
    <row r="13" spans="2:10" x14ac:dyDescent="0.3">
      <c r="C13">
        <v>640.97619047619048</v>
      </c>
      <c r="D13" s="19" cm="1">
        <f t="array" ref="D13">IF(C13&lt;=$C$8,Rs($C$6,$C$5,C13,$C$7,1),Rs($C$6,$C$5,$C$8,$C$7,1))</f>
        <v>101.3964185856864</v>
      </c>
    </row>
    <row r="14" spans="2:10" x14ac:dyDescent="0.3">
      <c r="C14">
        <v>781.95238095238096</v>
      </c>
      <c r="D14" s="19" cm="1">
        <f t="array" ref="D14">IF(C14&lt;=$C$8,Rs($C$6,$C$5,C14,$C$7,1),Rs($C$6,$C$5,$C$8,$C$7,1))</f>
        <v>128.83824334759655</v>
      </c>
    </row>
    <row r="15" spans="2:10" x14ac:dyDescent="0.3">
      <c r="C15">
        <v>922.92857142857144</v>
      </c>
      <c r="D15" s="19" cm="1">
        <f t="array" ref="D15">IF(C15&lt;=$C$8,Rs($C$6,$C$5,C15,$C$7,1),Rs($C$6,$C$5,$C$8,$C$7,1))</f>
        <v>157.31751048939537</v>
      </c>
    </row>
    <row r="16" spans="2:10" x14ac:dyDescent="0.3">
      <c r="C16">
        <v>1063.9047619047619</v>
      </c>
      <c r="D16" s="19" cm="1">
        <f t="array" ref="D16">IF(C16&lt;=$C$8,Rs($C$6,$C$5,C16,$C$7,1),Rs($C$6,$C$5,$C$8,$C$7,1))</f>
        <v>186.70509774063586</v>
      </c>
    </row>
    <row r="17" spans="3:4" x14ac:dyDescent="0.3">
      <c r="C17">
        <v>1204.8809523809523</v>
      </c>
      <c r="D17" s="19" cm="1">
        <f t="array" ref="D17">IF(C17&lt;=$C$8,Rs($C$6,$C$5,C17,$C$7,1),Rs($C$6,$C$5,$C$8,$C$7,1))</f>
        <v>216.90336000795767</v>
      </c>
    </row>
    <row r="18" spans="3:4" x14ac:dyDescent="0.3">
      <c r="C18">
        <v>1345.8571428571427</v>
      </c>
      <c r="D18" s="19" cm="1">
        <f t="array" ref="D18">IF(C18&lt;=$C$8,Rs($C$6,$C$5,C18,$C$7,1),Rs($C$6,$C$5,$C$8,$C$7,1))</f>
        <v>247.83558230300775</v>
      </c>
    </row>
    <row r="19" spans="3:4" x14ac:dyDescent="0.3">
      <c r="C19">
        <v>1486.833333333333</v>
      </c>
      <c r="D19" s="19" cm="1">
        <f t="array" ref="D19">IF(C19&lt;=$C$8,Rs($C$6,$C$5,C19,$C$7,1),Rs($C$6,$C$5,$C$8,$C$7,1))</f>
        <v>279.43972635175487</v>
      </c>
    </row>
    <row r="20" spans="3:4" x14ac:dyDescent="0.3">
      <c r="C20">
        <v>1627.8095238095234</v>
      </c>
      <c r="D20" s="19" cm="1">
        <f t="array" ref="D20">IF(C20&lt;=$C$8,Rs($C$6,$C$5,C20,$C$7,1),Rs($C$6,$C$5,$C$8,$C$7,1))</f>
        <v>311.66447292251621</v>
      </c>
    </row>
    <row r="21" spans="3:4" x14ac:dyDescent="0.3">
      <c r="C21">
        <v>1768.7857142857138</v>
      </c>
      <c r="D21" s="19" cm="1">
        <f t="array" ref="D21">IF(C21&lt;=$C$8,Rs($C$6,$C$5,C21,$C$7,1),Rs($C$6,$C$5,$C$8,$C$7,1))</f>
        <v>344.46658755429991</v>
      </c>
    </row>
    <row r="22" spans="3:4" x14ac:dyDescent="0.3">
      <c r="C22">
        <v>1909.7619047619041</v>
      </c>
      <c r="D22" s="19" cm="1">
        <f t="array" ref="D22">IF(C22&lt;=$C$8,Rs($C$6,$C$5,C22,$C$7,1),Rs($C$6,$C$5,$C$8,$C$7,1))</f>
        <v>377.80909521304238</v>
      </c>
    </row>
    <row r="23" spans="3:4" x14ac:dyDescent="0.3">
      <c r="C23">
        <v>2050.7380952380945</v>
      </c>
      <c r="D23" s="19" cm="1">
        <f t="array" ref="D23">IF(C23&lt;=$C$8,Rs($C$6,$C$5,C23,$C$7,1),Rs($C$6,$C$5,$C$8,$C$7,1))</f>
        <v>411.65997321571194</v>
      </c>
    </row>
    <row r="24" spans="3:4" x14ac:dyDescent="0.3">
      <c r="C24">
        <v>2191.7142857142849</v>
      </c>
      <c r="D24" s="19" cm="1">
        <f t="array" ref="D24">IF(C24&lt;=$C$8,Rs($C$6,$C$5,C24,$C$7,1),Rs($C$6,$C$5,$C$8,$C$7,1))</f>
        <v>445.99118928598534</v>
      </c>
    </row>
    <row r="25" spans="3:4" x14ac:dyDescent="0.3">
      <c r="C25">
        <v>2332.6904761904752</v>
      </c>
      <c r="D25" s="19" cm="1">
        <f t="array" ref="D25">IF(C25&lt;=$C$8,Rs($C$6,$C$5,C25,$C$7,1),Rs($C$6,$C$5,$C$8,$C$7,1))</f>
        <v>480.77797700417818</v>
      </c>
    </row>
    <row r="26" spans="3:4" x14ac:dyDescent="0.3">
      <c r="C26">
        <v>2473.6666666666656</v>
      </c>
      <c r="D26" s="19" cm="1">
        <f t="array" ref="D26">IF(C26&lt;=$C$8,Rs($C$6,$C$5,C26,$C$7,1),Rs($C$6,$C$5,$C$8,$C$7,1))</f>
        <v>512.69102402417479</v>
      </c>
    </row>
    <row r="27" spans="3:4" x14ac:dyDescent="0.3">
      <c r="C27">
        <v>2614.642857142856</v>
      </c>
      <c r="D27" s="19" cm="1">
        <f t="array" ref="D27">IF(C27&lt;=$C$8,Rs($C$6,$C$5,C27,$C$7,1),Rs($C$6,$C$5,$C$8,$C$7,1))</f>
        <v>512.69102402417479</v>
      </c>
    </row>
    <row r="28" spans="3:4" x14ac:dyDescent="0.3">
      <c r="C28">
        <v>2755.6190476190463</v>
      </c>
      <c r="D28" s="19" cm="1">
        <f t="array" ref="D28">IF(C28&lt;=$C$8,Rs($C$6,$C$5,C28,$C$7,1),Rs($C$6,$C$5,$C$8,$C$7,1))</f>
        <v>512.69102402417479</v>
      </c>
    </row>
    <row r="29" spans="3:4" x14ac:dyDescent="0.3">
      <c r="C29">
        <v>2896.5952380952367</v>
      </c>
      <c r="D29" s="19" cm="1">
        <f t="array" ref="D29">IF(C29&lt;=$C$8,Rs($C$6,$C$5,C29,$C$7,1),Rs($C$6,$C$5,$C$8,$C$7,1))</f>
        <v>512.69102402417479</v>
      </c>
    </row>
    <row r="30" spans="3:4" x14ac:dyDescent="0.3">
      <c r="C30">
        <v>3037.5714285714271</v>
      </c>
      <c r="D30" s="19" cm="1">
        <f t="array" ref="D30">IF(C30&lt;=$C$8,Rs($C$6,$C$5,C30,$C$7,1),Rs($C$6,$C$5,$C$8,$C$7,1))</f>
        <v>512.69102402417479</v>
      </c>
    </row>
    <row r="31" spans="3:4" x14ac:dyDescent="0.3">
      <c r="C31">
        <v>3178.5476190476174</v>
      </c>
      <c r="D31" s="19" cm="1">
        <f t="array" ref="D31">IF(C31&lt;=$C$8,Rs($C$6,$C$5,C31,$C$7,1),Rs($C$6,$C$5,$C$8,$C$7,1))</f>
        <v>512.69102402417479</v>
      </c>
    </row>
    <row r="32" spans="3:4" x14ac:dyDescent="0.3">
      <c r="C32">
        <v>3319.5238095238078</v>
      </c>
      <c r="D32" s="19" cm="1">
        <f t="array" ref="D32">IF(C32&lt;=$C$8,Rs($C$6,$C$5,C32,$C$7,1),Rs($C$6,$C$5,$C$8,$C$7,1))</f>
        <v>512.69102402417479</v>
      </c>
    </row>
    <row r="33" spans="4:4" x14ac:dyDescent="0.3">
      <c r="D33" s="19"/>
    </row>
    <row r="34" spans="4:4" x14ac:dyDescent="0.3">
      <c r="D34" s="19"/>
    </row>
    <row r="35" spans="4:4" x14ac:dyDescent="0.3">
      <c r="D35" s="19"/>
    </row>
    <row r="36" spans="4:4" x14ac:dyDescent="0.3">
      <c r="D36" s="19"/>
    </row>
    <row r="37" spans="4:4" x14ac:dyDescent="0.3">
      <c r="D37" s="19"/>
    </row>
    <row r="38" spans="4:4" x14ac:dyDescent="0.3">
      <c r="D38" s="19"/>
    </row>
    <row r="39" spans="4:4" x14ac:dyDescent="0.3">
      <c r="D39" s="19"/>
    </row>
    <row r="40" spans="4:4" x14ac:dyDescent="0.3">
      <c r="D40" s="19"/>
    </row>
    <row r="41" spans="4:4" x14ac:dyDescent="0.3">
      <c r="D41" s="19"/>
    </row>
    <row r="42" spans="4:4" x14ac:dyDescent="0.3">
      <c r="D42" s="19"/>
    </row>
    <row r="43" spans="4:4" x14ac:dyDescent="0.3">
      <c r="D43" s="19"/>
    </row>
    <row r="44" spans="4:4" x14ac:dyDescent="0.3">
      <c r="D44" s="19"/>
    </row>
    <row r="45" spans="4:4" x14ac:dyDescent="0.3">
      <c r="D45" s="19"/>
    </row>
    <row r="46" spans="4:4" x14ac:dyDescent="0.3">
      <c r="D46" s="19"/>
    </row>
    <row r="47" spans="4:4" x14ac:dyDescent="0.3">
      <c r="D47" s="19"/>
    </row>
    <row r="48" spans="4:4" x14ac:dyDescent="0.3">
      <c r="D48" s="19"/>
    </row>
    <row r="49" spans="4:4" x14ac:dyDescent="0.3">
      <c r="D49" s="19"/>
    </row>
    <row r="50" spans="4:4" x14ac:dyDescent="0.3">
      <c r="D50" s="19"/>
    </row>
    <row r="51" spans="4:4" x14ac:dyDescent="0.3">
      <c r="D51" s="19"/>
    </row>
    <row r="52" spans="4:4" x14ac:dyDescent="0.3">
      <c r="D52" s="19"/>
    </row>
    <row r="53" spans="4:4" x14ac:dyDescent="0.3">
      <c r="D53" s="19"/>
    </row>
    <row r="54" spans="4:4" x14ac:dyDescent="0.3">
      <c r="D54" s="19"/>
    </row>
    <row r="55" spans="4:4" x14ac:dyDescent="0.3">
      <c r="D55" s="19"/>
    </row>
    <row r="56" spans="4:4" x14ac:dyDescent="0.3">
      <c r="D56" s="19"/>
    </row>
    <row r="57" spans="4:4" x14ac:dyDescent="0.3">
      <c r="D57" s="19"/>
    </row>
    <row r="58" spans="4:4" x14ac:dyDescent="0.3">
      <c r="D58" s="19"/>
    </row>
    <row r="59" spans="4:4" x14ac:dyDescent="0.3">
      <c r="D59" s="19"/>
    </row>
    <row r="60" spans="4:4" x14ac:dyDescent="0.3">
      <c r="D60" s="19"/>
    </row>
    <row r="61" spans="4:4" x14ac:dyDescent="0.3">
      <c r="D61" s="19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794DF-9D6B-4226-932B-9A62EF34920D}">
  <sheetPr codeName="Planilha3"/>
  <dimension ref="B1:P10"/>
  <sheetViews>
    <sheetView tabSelected="1" topLeftCell="D1" zoomScale="130" zoomScaleNormal="130" workbookViewId="0">
      <selection activeCell="P8" sqref="P8"/>
    </sheetView>
  </sheetViews>
  <sheetFormatPr defaultRowHeight="14.4" x14ac:dyDescent="0.3"/>
  <cols>
    <col min="1" max="1" width="0.44140625" customWidth="1"/>
    <col min="2" max="2" width="14.33203125" customWidth="1"/>
    <col min="6" max="6" width="6.88671875" bestFit="1" customWidth="1"/>
    <col min="7" max="7" width="19.6640625" customWidth="1"/>
    <col min="10" max="10" width="12" bestFit="1" customWidth="1"/>
    <col min="11" max="11" width="15.44140625" bestFit="1" customWidth="1"/>
    <col min="12" max="12" width="0.88671875" customWidth="1"/>
  </cols>
  <sheetData>
    <row r="1" spans="2:16" x14ac:dyDescent="0.3">
      <c r="H1" s="29" t="s">
        <v>65</v>
      </c>
      <c r="I1" s="29"/>
      <c r="J1" s="29"/>
      <c r="K1" s="29"/>
      <c r="M1" t="s">
        <v>59</v>
      </c>
    </row>
    <row r="2" spans="2:16" s="24" customFormat="1" ht="28.8" x14ac:dyDescent="0.3">
      <c r="B2" s="23" t="str">
        <f>Capa!B42</f>
        <v>Parâmetros</v>
      </c>
      <c r="C2" s="23" t="str">
        <f>Capa!C42</f>
        <v>Valores</v>
      </c>
      <c r="D2" s="23" t="str">
        <f>Capa!D42</f>
        <v>Unidades</v>
      </c>
      <c r="F2" s="21" t="s">
        <v>51</v>
      </c>
      <c r="G2" s="21" t="s">
        <v>64</v>
      </c>
      <c r="H2" s="25" t="s">
        <v>52</v>
      </c>
      <c r="I2" s="25" t="s">
        <v>54</v>
      </c>
      <c r="J2" s="25" t="s">
        <v>55</v>
      </c>
      <c r="K2" s="25" t="s">
        <v>56</v>
      </c>
      <c r="L2"/>
      <c r="M2" s="25" t="s">
        <v>60</v>
      </c>
      <c r="N2" s="25" t="s">
        <v>61</v>
      </c>
      <c r="O2" s="25" t="s">
        <v>62</v>
      </c>
      <c r="P2" s="25" t="s">
        <v>63</v>
      </c>
    </row>
    <row r="3" spans="2:16" x14ac:dyDescent="0.3">
      <c r="B3" s="17" t="str">
        <f>Capa!B43</f>
        <v>Porosidade</v>
      </c>
      <c r="C3" s="17">
        <f>Capa!C43</f>
        <v>0.20899999999999999</v>
      </c>
      <c r="D3" s="17" t="str">
        <f>Capa!D43</f>
        <v>[-]</v>
      </c>
      <c r="F3" s="26">
        <v>0</v>
      </c>
      <c r="G3" s="26">
        <v>3793</v>
      </c>
      <c r="H3" s="22">
        <v>0</v>
      </c>
      <c r="I3" s="22" cm="1">
        <f t="array" ref="I3">tD($C$6,F3,$C$3,$C$4,$C$7,$C$9)</f>
        <v>0</v>
      </c>
      <c r="J3" s="22" cm="1">
        <f t="array" ref="J3">dimensionless_influx(I3)</f>
        <v>0</v>
      </c>
      <c r="K3" s="25">
        <v>0</v>
      </c>
      <c r="M3" s="27">
        <f>$G$3-G3</f>
        <v>0</v>
      </c>
      <c r="N3" s="22" cm="1">
        <f t="array" ref="N3">dimensionless_pressure(I3)</f>
        <v>0</v>
      </c>
      <c r="O3" s="22" cm="1">
        <f t="array" ref="O3">dimensionless_pressure_derivative(I3)</f>
        <v>0</v>
      </c>
      <c r="P3" s="22">
        <v>0</v>
      </c>
    </row>
    <row r="4" spans="2:16" x14ac:dyDescent="0.3">
      <c r="B4" s="17" t="str">
        <f>Capa!B44</f>
        <v>visc. Água</v>
      </c>
      <c r="C4" s="17">
        <f>Capa!C44</f>
        <v>0.25</v>
      </c>
      <c r="D4" s="17" t="str">
        <f>Capa!D44</f>
        <v>[cp</v>
      </c>
      <c r="F4" s="26">
        <v>91.5</v>
      </c>
      <c r="G4" s="26">
        <v>3788</v>
      </c>
      <c r="H4" s="27">
        <f>(G3-G4)*0.5</f>
        <v>2.5</v>
      </c>
      <c r="I4" s="22" cm="1">
        <f t="array" ref="I4">tD($C$6,F4,$C$3,$C$4,$C$7,$C$9)</f>
        <v>15.080917329635465</v>
      </c>
      <c r="J4" s="22" cm="1">
        <f t="array" ref="J4">dimensionless_influx(I4)</f>
        <v>10.13888157768986</v>
      </c>
      <c r="K4" s="25" cm="1">
        <f t="array" ref="K4">influx_VEH(I4,$C$10,$H$3:$H$9,$I$3:$I$9)</f>
        <v>11514.16814539818</v>
      </c>
      <c r="M4" s="27">
        <f>$G$3-G4</f>
        <v>5</v>
      </c>
      <c r="N4" s="22" cm="1">
        <f t="array" ref="N4">dimensionless_pressure(I4)</f>
        <v>1.8318102186180327</v>
      </c>
      <c r="O4" s="22" cm="1">
        <f t="array" ref="O4">dimensionless_pressure_derivative(I4)</f>
        <v>2.9690310023951377E-2</v>
      </c>
      <c r="P4" s="22" cm="1">
        <f t="array" ref="P4">influx_CT(I4,I3,$C$10,M4,P3,O4,N4)</f>
        <v>18699.06082664038</v>
      </c>
    </row>
    <row r="5" spans="2:16" x14ac:dyDescent="0.3">
      <c r="B5" s="17" t="str">
        <f>Capa!B45</f>
        <v>Ângulo</v>
      </c>
      <c r="C5" s="17">
        <f>Capa!C45</f>
        <v>180</v>
      </c>
      <c r="D5" s="17" t="str">
        <f>Capa!D45</f>
        <v>[°]</v>
      </c>
      <c r="F5" s="26">
        <v>183</v>
      </c>
      <c r="G5" s="26">
        <v>3774</v>
      </c>
      <c r="H5" s="27">
        <f>(G3-G5)*0.5</f>
        <v>9.5</v>
      </c>
      <c r="I5" s="22" cm="1">
        <f t="array" ref="I5">tD($C$6,F5,$C$3,$C$4,$C$7,$C$9)</f>
        <v>30.16183465927093</v>
      </c>
      <c r="J5" s="22" cm="1">
        <f t="array" ref="J5">dimensionless_influx(I5)</f>
        <v>16.961211809452855</v>
      </c>
      <c r="K5" s="25" cm="1">
        <f t="array" ref="K5">influx_VEH(I5,$C$10,$H$3:$H$9,$I$3:$I$9)</f>
        <v>63015.750952105758</v>
      </c>
      <c r="M5" s="27">
        <f>$G$3-G5</f>
        <v>19</v>
      </c>
      <c r="N5" s="22" cm="1">
        <f t="array" ref="N5">dimensionless_pressure(I5)</f>
        <v>2.149400357673243</v>
      </c>
      <c r="O5" s="22" cm="1">
        <f t="array" ref="O5">dimensionless_pressure_derivative(I5)</f>
        <v>1.5504070865092489E-2</v>
      </c>
      <c r="P5" s="22" cm="1">
        <f t="array" ref="P5">influx_CT(I5,I4,$C$10,M5,P4,O5,N5)</f>
        <v>84365.570517055021</v>
      </c>
    </row>
    <row r="6" spans="2:16" x14ac:dyDescent="0.3">
      <c r="B6" s="17" t="str">
        <f>Capa!B46</f>
        <v>Permeab.</v>
      </c>
      <c r="C6" s="17">
        <f>Capa!C46</f>
        <v>275</v>
      </c>
      <c r="D6" s="17" t="str">
        <f>Capa!D46</f>
        <v>[mD]</v>
      </c>
      <c r="F6" s="26">
        <v>274</v>
      </c>
      <c r="G6" s="26">
        <v>3748</v>
      </c>
      <c r="H6" s="27">
        <f>(G4-G6)*0.5</f>
        <v>20</v>
      </c>
      <c r="I6" s="22" cm="1">
        <f t="array" ref="I6">tD($C$6,F6,$C$3,$C$4,$C$7,$C$9)</f>
        <v>45.160342604591456</v>
      </c>
      <c r="J6" s="22" cm="1">
        <f t="array" ref="J6">dimensionless_influx(I6)</f>
        <v>23.093968836339595</v>
      </c>
      <c r="K6" s="25" cm="1">
        <f t="array" ref="K6">influx_VEH(I6,$C$10,$H$3:$H$9,$I$3:$I$9)</f>
        <v>191017.37576411682</v>
      </c>
      <c r="M6" s="27">
        <f>$G$3-G6</f>
        <v>45</v>
      </c>
      <c r="N6" s="22" cm="1">
        <f t="array" ref="N6">dimensionless_pressure(I6)</f>
        <v>2.3398006110489904</v>
      </c>
      <c r="O6" s="22" cm="1">
        <f t="array" ref="O6">dimensionless_pressure_derivative(I6)</f>
        <v>1.0538756131948736E-2</v>
      </c>
      <c r="P6" s="22" cm="1">
        <f t="array" ref="P6">influx_CT(I6,I5,$C$10,M6,P5,O6,N6)</f>
        <v>229404.19861163117</v>
      </c>
    </row>
    <row r="7" spans="2:16" x14ac:dyDescent="0.3">
      <c r="B7" s="17" t="str">
        <f>Capa!B47</f>
        <v>compress. Total</v>
      </c>
      <c r="C7" s="17">
        <f>Capa!C47</f>
        <v>6.0000000000000002E-6</v>
      </c>
      <c r="D7" s="17" t="str">
        <f>Capa!D47</f>
        <v>[1/psia]</v>
      </c>
      <c r="F7" s="26">
        <v>366</v>
      </c>
      <c r="G7" s="26">
        <v>3709</v>
      </c>
      <c r="H7" s="27">
        <f>(G5-G7)*0.5</f>
        <v>32.5</v>
      </c>
      <c r="I7" s="22" cm="1">
        <f t="array" ref="I7">tD($C$6,F7,$C$3,$C$4,$C$7,$C$9)</f>
        <v>60.32366931854186</v>
      </c>
      <c r="J7" s="22" cm="1">
        <f t="array" ref="J7">dimensionless_influx(I7)</f>
        <v>28.925803759425449</v>
      </c>
      <c r="K7" s="25" cm="1">
        <f t="array" ref="K7">influx_VEH(I7,$C$10,$H$3:$H$9,$I$3:$I$9)</f>
        <v>437024.96305337409</v>
      </c>
      <c r="M7" s="27">
        <f>$G$3-G7</f>
        <v>84</v>
      </c>
      <c r="N7" s="22" cm="1">
        <f t="array" ref="N7">dimensionless_pressure(I7)</f>
        <v>2.4782388193380984</v>
      </c>
      <c r="O7" s="22" cm="1">
        <f t="array" ref="O7">dimensionless_pressure_derivative(I7)</f>
        <v>7.9680141038798898E-3</v>
      </c>
      <c r="P7" s="22" cm="1">
        <f t="array" ref="P7">influx_CT(I7,I6,$C$10,M7,P6,O7,N7)</f>
        <v>489449.52244761819</v>
      </c>
    </row>
    <row r="8" spans="2:16" x14ac:dyDescent="0.3">
      <c r="B8" s="17" t="str">
        <f>Capa!B48</f>
        <v>espessura</v>
      </c>
      <c r="C8" s="17">
        <f>Capa!C48</f>
        <v>19.2</v>
      </c>
      <c r="D8" s="17" t="str">
        <f>Capa!D48</f>
        <v>[pés]</v>
      </c>
      <c r="F8" s="26">
        <v>457.5</v>
      </c>
      <c r="G8" s="26">
        <v>3680</v>
      </c>
      <c r="H8" s="27">
        <f t="shared" ref="H6:H8" si="0">(G6-G8)*0.5</f>
        <v>34</v>
      </c>
      <c r="I8" s="22" cm="1">
        <f t="array" ref="I8">tD($C$6,F8,$C$3,$C$4,$C$7,$C$9)</f>
        <v>75.404586648177329</v>
      </c>
      <c r="J8" s="22" cm="1">
        <f t="array" ref="J8">dimensionless_influx(I8)</f>
        <v>34.47869459926752</v>
      </c>
      <c r="K8" s="25" cm="1">
        <f t="array" ref="K8">influx_VEH(I8,$C$10,$H$3:$H$9,$I$3:$I$9)</f>
        <v>781606.59168911166</v>
      </c>
      <c r="M8" s="27">
        <f t="shared" ref="M5:M9" si="1">$G$3-G8</f>
        <v>113</v>
      </c>
      <c r="N8" s="22" cm="1">
        <f t="array" ref="N8">dimensionless_pressure(I8)</f>
        <v>2.585833270823767</v>
      </c>
      <c r="O8" s="22" cm="1">
        <f t="array" ref="O8">dimensionless_pressure_derivative(I8)</f>
        <v>6.414731440305345E-3</v>
      </c>
      <c r="P8" s="22" cm="1">
        <f t="array" ref="P8">influx_CT(I8,I7,$C$10,M8,P7,O8,N8)</f>
        <v>819969.45074062957</v>
      </c>
    </row>
    <row r="9" spans="2:16" x14ac:dyDescent="0.3">
      <c r="B9" s="17" t="str">
        <f>Capa!B49</f>
        <v>raio ext.</v>
      </c>
      <c r="C9" s="17">
        <f>Capa!C49</f>
        <v>5807</v>
      </c>
      <c r="D9" s="17" t="str">
        <f>Capa!D49</f>
        <v>[pés]</v>
      </c>
      <c r="F9" s="26">
        <v>549</v>
      </c>
      <c r="G9" s="26">
        <v>3643</v>
      </c>
      <c r="H9" s="27">
        <f>(G7-G9)*0.5</f>
        <v>33</v>
      </c>
      <c r="I9" s="22" cm="1">
        <f t="array" ref="I9">tD($C$6,F9,$C$3,$C$4,$C$7,$C$9)</f>
        <v>90.485503977812797</v>
      </c>
      <c r="J9" s="22" cm="1">
        <f t="array" ref="J9">dimensionless_influx(I9)</f>
        <v>39.849354823906921</v>
      </c>
      <c r="K9" s="25" cm="1">
        <f t="array" ref="K9">influx_VEH(I9,$C$10,$H$3:$H$9,$I$3:$I$9)</f>
        <v>1212696.2276320688</v>
      </c>
      <c r="M9" s="27">
        <f t="shared" si="1"/>
        <v>150</v>
      </c>
      <c r="N9" s="22" cm="1">
        <f t="array" ref="N9">dimensionless_pressure(I9)</f>
        <v>2.6742420883605029</v>
      </c>
      <c r="O9" s="22" cm="1">
        <f t="array" ref="O9">dimensionless_pressure_derivative(I9)</f>
        <v>5.3692739191990085E-3</v>
      </c>
      <c r="P9" s="22" cm="1">
        <f t="array" ref="P9">influx_CT(I9,I8,$C$10,M9,P8,O9,N9)</f>
        <v>1243521.4850282085</v>
      </c>
    </row>
    <row r="10" spans="2:16" x14ac:dyDescent="0.3">
      <c r="B10" s="22" t="s">
        <v>57</v>
      </c>
      <c r="C10" s="22" cm="1">
        <f t="array" ref="C10">Ucte(C3,C7,C8,C9,C5)</f>
        <v>454.25792015303045</v>
      </c>
      <c r="D10" s="22" t="s">
        <v>58</v>
      </c>
    </row>
  </sheetData>
  <mergeCells count="1">
    <mergeCell ref="H1:K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Calcs</vt:lpstr>
      <vt:lpstr>aquifer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da Cunha</dc:creator>
  <cp:lastModifiedBy>Jonathan da Cunha</cp:lastModifiedBy>
  <dcterms:created xsi:type="dcterms:W3CDTF">2025-01-13T23:14:17Z</dcterms:created>
  <dcterms:modified xsi:type="dcterms:W3CDTF">2025-05-17T16:44:25Z</dcterms:modified>
</cp:coreProperties>
</file>