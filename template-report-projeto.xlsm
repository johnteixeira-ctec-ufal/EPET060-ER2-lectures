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e9b64e6393063d/"/>
    </mc:Choice>
  </mc:AlternateContent>
  <xr:revisionPtr revIDLastSave="293" documentId="8_{123E22E6-5C52-4BB1-A36D-CCE0C7A27E61}" xr6:coauthVersionLast="47" xr6:coauthVersionMax="47" xr10:uidLastSave="{DD9ECBDD-5651-4F89-90FD-E2F0CA82D3D5}"/>
  <bookViews>
    <workbookView xWindow="19090" yWindow="-110" windowWidth="19420" windowHeight="10300" xr2:uid="{8950FC6B-F112-4F31-8822-B5C2DDB5C743}"/>
  </bookViews>
  <sheets>
    <sheet name="Capa" sheetId="1" r:id="rId1"/>
    <sheet name="Calc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1" l="1"/>
  <c r="K18" i="1"/>
  <c r="B5" i="2"/>
  <c r="C5" i="2"/>
  <c r="D5" i="2"/>
  <c r="B6" i="2"/>
  <c r="C6" i="2"/>
  <c r="D6" i="2"/>
  <c r="B7" i="2"/>
  <c r="C7" i="2"/>
  <c r="D7" i="2"/>
  <c r="B8" i="2"/>
  <c r="C8" i="2"/>
  <c r="H5" i="2" s="1"/>
  <c r="C12" i="2" s="1" a="1"/>
  <c r="D8" i="2"/>
  <c r="C4" i="2"/>
  <c r="D4" i="2"/>
  <c r="B4" i="2"/>
  <c r="D13" i="2" a="1"/>
  <c r="D17" i="2" a="1"/>
  <c r="D21" i="2" a="1"/>
  <c r="D25" i="2" a="1"/>
  <c r="D29" i="2" a="1"/>
  <c r="D33" i="2" a="1"/>
  <c r="D37" i="2" a="1"/>
  <c r="D41" i="2" a="1"/>
  <c r="D45" i="2" a="1"/>
  <c r="D49" i="2" a="1"/>
  <c r="D53" i="2" a="1"/>
  <c r="D57" i="2" a="1"/>
  <c r="D61" i="2" a="1"/>
  <c r="D14" i="2" a="1"/>
  <c r="D18" i="2" a="1"/>
  <c r="D22" i="2" a="1"/>
  <c r="D26" i="2" a="1"/>
  <c r="D30" i="2" a="1"/>
  <c r="D34" i="2" a="1"/>
  <c r="D38" i="2" a="1"/>
  <c r="D42" i="2" a="1"/>
  <c r="D46" i="2" a="1"/>
  <c r="D50" i="2" a="1"/>
  <c r="D54" i="2" a="1"/>
  <c r="D58" i="2" a="1"/>
  <c r="D15" i="2" a="1"/>
  <c r="D19" i="2" a="1"/>
  <c r="D23" i="2" a="1"/>
  <c r="D27" i="2" a="1"/>
  <c r="D31" i="2" a="1"/>
  <c r="D35" i="2" a="1"/>
  <c r="D39" i="2" a="1"/>
  <c r="D43" i="2" a="1"/>
  <c r="D47" i="2" a="1"/>
  <c r="D51" i="2" a="1"/>
  <c r="D55" i="2" a="1"/>
  <c r="D59" i="2" a="1"/>
  <c r="D20" i="2" a="1"/>
  <c r="D24" i="2" a="1"/>
  <c r="D28" i="2" a="1"/>
  <c r="D32" i="2" a="1"/>
  <c r="D36" i="2" a="1"/>
  <c r="D40" i="2" a="1"/>
  <c r="D44" i="2" a="1"/>
  <c r="D48" i="2" a="1"/>
  <c r="D52" i="2" a="1"/>
  <c r="D56" i="2" a="1"/>
  <c r="D60" i="2" a="1"/>
  <c r="D16" i="2" a="1"/>
  <c r="C12" i="2" l="1"/>
  <c r="J28" i="1"/>
  <c r="J33" i="1"/>
  <c r="J39" i="1"/>
  <c r="J26" i="1"/>
  <c r="J30" i="1"/>
  <c r="J34" i="1"/>
  <c r="J25" i="1"/>
  <c r="J36" i="1"/>
  <c r="J32" i="1"/>
  <c r="J21" i="1"/>
  <c r="J38" i="1"/>
  <c r="J29" i="1"/>
  <c r="J24" i="1"/>
  <c r="J35" i="1"/>
  <c r="J27" i="1"/>
  <c r="J31" i="1"/>
  <c r="J22" i="1"/>
  <c r="J20" i="1"/>
  <c r="J23" i="1"/>
  <c r="J37" i="1"/>
  <c r="D16" i="2"/>
  <c r="K23" i="1" s="1"/>
  <c r="D60" i="2"/>
  <c r="D56" i="2"/>
  <c r="D52" i="2"/>
  <c r="D48" i="2"/>
  <c r="D44" i="2"/>
  <c r="D40" i="2"/>
  <c r="D36" i="2"/>
  <c r="D32" i="2"/>
  <c r="K39" i="1" s="1"/>
  <c r="D28" i="2"/>
  <c r="K35" i="1" s="1"/>
  <c r="D24" i="2"/>
  <c r="K31" i="1" s="1"/>
  <c r="D20" i="2"/>
  <c r="K27" i="1" s="1"/>
  <c r="D59" i="2"/>
  <c r="D55" i="2"/>
  <c r="D51" i="2"/>
  <c r="D47" i="2"/>
  <c r="D43" i="2"/>
  <c r="D39" i="2"/>
  <c r="D35" i="2"/>
  <c r="D31" i="2"/>
  <c r="K38" i="1" s="1"/>
  <c r="D27" i="2"/>
  <c r="K34" i="1" s="1"/>
  <c r="D23" i="2"/>
  <c r="K30" i="1" s="1"/>
  <c r="D19" i="2"/>
  <c r="K26" i="1" s="1"/>
  <c r="D15" i="2"/>
  <c r="K22" i="1" s="1"/>
  <c r="D58" i="2"/>
  <c r="D54" i="2"/>
  <c r="D50" i="2"/>
  <c r="D46" i="2"/>
  <c r="D42" i="2"/>
  <c r="D38" i="2"/>
  <c r="D34" i="2"/>
  <c r="D30" i="2"/>
  <c r="K37" i="1" s="1"/>
  <c r="D26" i="2"/>
  <c r="K33" i="1" s="1"/>
  <c r="D22" i="2"/>
  <c r="K29" i="1" s="1"/>
  <c r="D18" i="2"/>
  <c r="K25" i="1" s="1"/>
  <c r="D14" i="2"/>
  <c r="K21" i="1" s="1"/>
  <c r="D61" i="2"/>
  <c r="D57" i="2"/>
  <c r="D53" i="2"/>
  <c r="D49" i="2"/>
  <c r="D45" i="2"/>
  <c r="D41" i="2"/>
  <c r="D37" i="2"/>
  <c r="D33" i="2"/>
  <c r="D29" i="2"/>
  <c r="K36" i="1" s="1"/>
  <c r="D25" i="2"/>
  <c r="K32" i="1" s="1"/>
  <c r="D21" i="2"/>
  <c r="K28" i="1" s="1"/>
  <c r="D17" i="2"/>
  <c r="K24" i="1" s="1"/>
  <c r="D13" i="2"/>
  <c r="K20" i="1" s="1"/>
  <c r="D12" i="2" a="1"/>
  <c r="D12" i="2" l="1"/>
  <c r="K19" i="1" s="1"/>
  <c r="J1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<sst xmlns="http://schemas.openxmlformats.org/spreadsheetml/2006/main" count="41" uniqueCount="39">
  <si>
    <t>Relátorio de Projeto Final</t>
  </si>
  <si>
    <t>EPET060 - Eng. Reservatórios 2</t>
  </si>
  <si>
    <t>Prof. Jonathan da C. Teixeira</t>
  </si>
  <si>
    <t>Semestre</t>
  </si>
  <si>
    <t>2024/02</t>
  </si>
  <si>
    <t>Acadêmicas(os):</t>
  </si>
  <si>
    <t>Alan Mathison Turing</t>
  </si>
  <si>
    <t>e-mail(s):</t>
  </si>
  <si>
    <t>alanm.turing@math.edu</t>
  </si>
  <si>
    <t>matricula(s):</t>
  </si>
  <si>
    <t>John Locke</t>
  </si>
  <si>
    <t>Friedrich Hayek</t>
  </si>
  <si>
    <t>john.nash@mgame.edu</t>
  </si>
  <si>
    <t xml:space="preserve">John Nash </t>
  </si>
  <si>
    <t>fried.hayek@lib.edu</t>
  </si>
  <si>
    <t>john.lock@free.dom.uk</t>
  </si>
  <si>
    <t>Respostas</t>
  </si>
  <si>
    <t>Entradas/Dados</t>
  </si>
  <si>
    <t>API</t>
  </si>
  <si>
    <t>Parâmetros</t>
  </si>
  <si>
    <t>Unidades</t>
  </si>
  <si>
    <t>[-]</t>
  </si>
  <si>
    <t>SGgás</t>
  </si>
  <si>
    <t>T</t>
  </si>
  <si>
    <t>[°F]</t>
  </si>
  <si>
    <t>Pbolha</t>
  </si>
  <si>
    <t>[psia]</t>
  </si>
  <si>
    <t>Exercício 1</t>
  </si>
  <si>
    <t>Pressão</t>
  </si>
  <si>
    <t>Rs [scf/stb]</t>
  </si>
  <si>
    <t>Valores</t>
  </si>
  <si>
    <t>Para visualizar as funções implementadas digite Alt+F11</t>
  </si>
  <si>
    <t>Curva PVT</t>
  </si>
  <si>
    <t>MAX</t>
  </si>
  <si>
    <t>MIN</t>
  </si>
  <si>
    <t>NPOINTS</t>
  </si>
  <si>
    <t>Tabela &gt;&gt;&gt;&gt;&gt;&gt;&gt;</t>
  </si>
  <si>
    <t>Pressão [psia]</t>
  </si>
  <si>
    <r>
      <t xml:space="preserve">&lt;&lt;&lt;&lt;&lt; Precisa estar vinculada </t>
    </r>
    <r>
      <rPr>
        <b/>
        <sz val="11"/>
        <color rgb="FFFF0000"/>
        <rFont val="Aptos Narrow"/>
        <family val="2"/>
        <scheme val="minor"/>
      </rPr>
      <t>A MESMA PLANILHA!!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</si>
</sst>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70" formatCode="0.00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u val="double"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</font>
    <font>
      <sz val="8"/>
      <name val="Aptos Narrow"/>
      <family val="2"/>
      <scheme val="minor"/>
    </font>
    <font>
      <sz val="10"/>
      <name val="Aptos Narrow"/>
      <family val="2"/>
    </font>
    <font>
      <b/>
      <sz val="16"/>
      <color theme="1"/>
      <name val="Aptos Narrow"/>
      <family val="2"/>
      <scheme val="minor"/>
    </font>
    <font>
      <u val="double"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Font="1"/>
    <xf numFmtId="168" fontId="6" fillId="4" borderId="3" xfId="0" applyNumberFormat="1" applyFont="1" applyFill="1" applyBorder="1" applyAlignment="1">
      <alignment horizontal="center" vertical="center"/>
    </xf>
    <xf numFmtId="168" fontId="8" fillId="4" borderId="4" xfId="0" applyNumberFormat="1" applyFont="1" applyFill="1" applyBorder="1" applyAlignment="1">
      <alignment horizontal="left" vertical="center"/>
    </xf>
    <xf numFmtId="168" fontId="8" fillId="4" borderId="4" xfId="0" applyNumberFormat="1" applyFont="1" applyFill="1" applyBorder="1" applyAlignment="1">
      <alignment horizontal="center" vertical="center"/>
    </xf>
    <xf numFmtId="168" fontId="8" fillId="4" borderId="6" xfId="0" applyNumberFormat="1" applyFont="1" applyFill="1" applyBorder="1" applyAlignment="1">
      <alignment horizontal="center" vertical="center"/>
    </xf>
    <xf numFmtId="168" fontId="8" fillId="4" borderId="6" xfId="0" applyNumberFormat="1" applyFont="1" applyFill="1" applyBorder="1" applyAlignment="1">
      <alignment horizontal="left" vertical="center"/>
    </xf>
    <xf numFmtId="0" fontId="0" fillId="0" borderId="0" xfId="0" applyFill="1" applyBorder="1"/>
    <xf numFmtId="168" fontId="8" fillId="0" borderId="0" xfId="0" applyNumberFormat="1" applyFont="1" applyFill="1" applyBorder="1" applyAlignment="1">
      <alignment horizontal="center" vertical="center"/>
    </xf>
    <xf numFmtId="168" fontId="8" fillId="0" borderId="0" xfId="0" applyNumberFormat="1" applyFont="1" applyFill="1" applyBorder="1" applyAlignment="1">
      <alignment horizontal="left" vertical="center"/>
    </xf>
    <xf numFmtId="1" fontId="8" fillId="4" borderId="6" xfId="0" applyNumberFormat="1" applyFont="1" applyFill="1" applyBorder="1" applyAlignment="1">
      <alignment horizontal="left" vertical="center"/>
    </xf>
    <xf numFmtId="1" fontId="8" fillId="0" borderId="0" xfId="0" applyNumberFormat="1" applyFont="1" applyFill="1" applyBorder="1" applyAlignment="1">
      <alignment horizontal="left" vertical="center"/>
    </xf>
    <xf numFmtId="168" fontId="5" fillId="4" borderId="4" xfId="3" applyNumberFormat="1" applyFill="1" applyBorder="1" applyAlignment="1">
      <alignment horizontal="left" vertical="center"/>
    </xf>
    <xf numFmtId="0" fontId="9" fillId="0" borderId="7" xfId="0" applyFont="1" applyBorder="1" applyAlignment="1">
      <alignment horizontal="left"/>
    </xf>
    <xf numFmtId="0" fontId="10" fillId="0" borderId="0" xfId="0" applyFont="1"/>
    <xf numFmtId="0" fontId="0" fillId="0" borderId="8" xfId="0" applyBorder="1"/>
    <xf numFmtId="0" fontId="0" fillId="0" borderId="5" xfId="0" applyBorder="1"/>
    <xf numFmtId="0" fontId="0" fillId="3" borderId="2" xfId="2" applyFont="1"/>
    <xf numFmtId="0" fontId="2" fillId="2" borderId="1" xfId="1"/>
    <xf numFmtId="0" fontId="2" fillId="0" borderId="0" xfId="1" applyFill="1" applyBorder="1"/>
    <xf numFmtId="170" fontId="0" fillId="0" borderId="0" xfId="0" applyNumberFormat="1"/>
  </cellXfs>
  <cellStyles count="4">
    <cellStyle name="Entrada" xfId="1" builtinId="20"/>
    <cellStyle name="Hiperlink" xfId="3" builtinId="8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Calcs!$D$11</c:f>
              <c:strCache>
                <c:ptCount val="1"/>
                <c:pt idx="0">
                  <c:v>Rs [scf/stb]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Calcs!$C$12:$C$61</c:f>
              <c:numCache>
                <c:formatCode>General</c:formatCode>
                <c:ptCount val="50"/>
                <c:pt idx="0">
                  <c:v>500</c:v>
                </c:pt>
                <c:pt idx="1">
                  <c:v>640.97619047619048</c:v>
                </c:pt>
                <c:pt idx="2">
                  <c:v>781.95238095238096</c:v>
                </c:pt>
                <c:pt idx="3">
                  <c:v>922.92857142857144</c:v>
                </c:pt>
                <c:pt idx="4">
                  <c:v>1063.9047619047619</c:v>
                </c:pt>
                <c:pt idx="5">
                  <c:v>1204.8809523809523</c:v>
                </c:pt>
                <c:pt idx="6">
                  <c:v>1345.8571428571427</c:v>
                </c:pt>
                <c:pt idx="7">
                  <c:v>1486.833333333333</c:v>
                </c:pt>
                <c:pt idx="8">
                  <c:v>1627.8095238095234</c:v>
                </c:pt>
                <c:pt idx="9">
                  <c:v>1768.7857142857138</c:v>
                </c:pt>
                <c:pt idx="10">
                  <c:v>1909.7619047619041</c:v>
                </c:pt>
                <c:pt idx="11">
                  <c:v>2050.7380952380945</c:v>
                </c:pt>
                <c:pt idx="12">
                  <c:v>2191.7142857142849</c:v>
                </c:pt>
                <c:pt idx="13">
                  <c:v>2332.6904761904752</c:v>
                </c:pt>
                <c:pt idx="14">
                  <c:v>2473.6666666666656</c:v>
                </c:pt>
                <c:pt idx="15">
                  <c:v>2614.642857142856</c:v>
                </c:pt>
                <c:pt idx="16">
                  <c:v>2755.6190476190463</c:v>
                </c:pt>
                <c:pt idx="17">
                  <c:v>2896.5952380952367</c:v>
                </c:pt>
                <c:pt idx="18">
                  <c:v>3037.5714285714271</c:v>
                </c:pt>
                <c:pt idx="19">
                  <c:v>3178.5476190476174</c:v>
                </c:pt>
                <c:pt idx="20">
                  <c:v>3319.5238095238078</c:v>
                </c:pt>
              </c:numCache>
            </c:numRef>
          </c:xVal>
          <c:yVal>
            <c:numRef>
              <c:f>Calcs!$D$12:$D$61</c:f>
              <c:numCache>
                <c:formatCode>0.0000</c:formatCode>
                <c:ptCount val="50"/>
                <c:pt idx="0">
                  <c:v>75.172064735019845</c:v>
                </c:pt>
                <c:pt idx="1">
                  <c:v>101.3964185856864</c:v>
                </c:pt>
                <c:pt idx="2">
                  <c:v>128.83824334759655</c:v>
                </c:pt>
                <c:pt idx="3">
                  <c:v>157.31751048939537</c:v>
                </c:pt>
                <c:pt idx="4">
                  <c:v>186.70509774063586</c:v>
                </c:pt>
                <c:pt idx="5">
                  <c:v>216.90336000795767</c:v>
                </c:pt>
                <c:pt idx="6">
                  <c:v>247.83558230300775</c:v>
                </c:pt>
                <c:pt idx="7">
                  <c:v>279.43972635175487</c:v>
                </c:pt>
                <c:pt idx="8">
                  <c:v>311.66447292251621</c:v>
                </c:pt>
                <c:pt idx="9">
                  <c:v>344.46658755429991</c:v>
                </c:pt>
                <c:pt idx="10">
                  <c:v>377.80909521304238</c:v>
                </c:pt>
                <c:pt idx="11">
                  <c:v>411.65997321571194</c:v>
                </c:pt>
                <c:pt idx="12">
                  <c:v>445.99118928598534</c:v>
                </c:pt>
                <c:pt idx="13">
                  <c:v>480.77797700417818</c:v>
                </c:pt>
                <c:pt idx="14">
                  <c:v>512.69102402417479</c:v>
                </c:pt>
                <c:pt idx="15">
                  <c:v>512.69102402417479</c:v>
                </c:pt>
                <c:pt idx="16">
                  <c:v>512.69102402417479</c:v>
                </c:pt>
                <c:pt idx="17">
                  <c:v>512.69102402417479</c:v>
                </c:pt>
                <c:pt idx="18">
                  <c:v>512.69102402417479</c:v>
                </c:pt>
                <c:pt idx="19">
                  <c:v>512.69102402417479</c:v>
                </c:pt>
                <c:pt idx="20">
                  <c:v>512.69102402417479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F-479A-8EC0-6E9E17D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19536"/>
        <c:axId val="497310896"/>
      </c:scatterChart>
      <c:valAx>
        <c:axId val="4973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0896"/>
        <c:crosses val="autoZero"/>
        <c:crossBetween val="midCat"/>
      </c:valAx>
      <c:valAx>
        <c:axId val="497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169545</xdr:colOff>
      <xdr:row>5</xdr:row>
      <xdr:rowOff>164465</xdr:rowOff>
    </xdr:from>
    <xdr:to>
      <xdr:col>13</xdr:col>
      <xdr:colOff>474345</xdr:colOff>
      <xdr:row>20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7E1D0F-53A6-3A4F-5CB6-7E4726436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ried.hayek@lib.edu" TargetMode="External"/><Relationship Id="rId2" Type="http://schemas.openxmlformats.org/officeDocument/2006/relationships/hyperlink" Target="mailto:john.nash@mgame.edu" TargetMode="External"/><Relationship Id="rId1" Type="http://schemas.openxmlformats.org/officeDocument/2006/relationships/hyperlink" Target="mailto:alanm.turing@math.edu" TargetMode="External"/><Relationship Id="rId4" Type="http://schemas.openxmlformats.org/officeDocument/2006/relationships/hyperlink" Target="mailto:john.lock@free.dom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A70E-1F69-4AF1-8090-290C99240D15}">
  <sheetPr codeName="Planilha1"/>
  <dimension ref="B1:Q39"/>
  <sheetViews>
    <sheetView showGridLines="0" tabSelected="1" workbookViewId="0">
      <selection activeCell="O19" sqref="O19"/>
    </sheetView>
  </sheetViews>
  <sheetFormatPr defaultRowHeight="14.4" x14ac:dyDescent="0.3"/>
  <cols>
    <col min="1" max="1" width="0.77734375" customWidth="1"/>
    <col min="2" max="2" width="10.77734375" customWidth="1"/>
    <col min="5" max="5" width="1" style="9" customWidth="1"/>
    <col min="9" max="9" width="0.6640625" style="9" customWidth="1"/>
    <col min="10" max="10" width="12.44140625" bestFit="1" customWidth="1"/>
    <col min="11" max="11" width="10.109375" customWidth="1"/>
  </cols>
  <sheetData>
    <row r="1" spans="2:17" ht="28.8" x14ac:dyDescent="0.55000000000000004">
      <c r="B1" s="1" t="s">
        <v>0</v>
      </c>
    </row>
    <row r="2" spans="2:17" ht="3.6" customHeight="1" x14ac:dyDescent="0.3"/>
    <row r="3" spans="2:17" x14ac:dyDescent="0.3">
      <c r="B3" s="2" t="s">
        <v>1</v>
      </c>
      <c r="G3" s="2" t="s">
        <v>2</v>
      </c>
      <c r="L3" s="3" t="s">
        <v>3</v>
      </c>
      <c r="M3" s="4" t="s">
        <v>4</v>
      </c>
    </row>
    <row r="4" spans="2:17" ht="3.6" customHeight="1" x14ac:dyDescent="0.3"/>
    <row r="5" spans="2:17" x14ac:dyDescent="0.3">
      <c r="B5" t="s">
        <v>5</v>
      </c>
      <c r="F5" t="s">
        <v>7</v>
      </c>
      <c r="J5" t="s">
        <v>9</v>
      </c>
    </row>
    <row r="6" spans="2:17" x14ac:dyDescent="0.3">
      <c r="B6" s="5" t="s">
        <v>6</v>
      </c>
      <c r="C6" s="6"/>
      <c r="D6" s="7"/>
      <c r="E6" s="10"/>
      <c r="F6" s="14" t="s">
        <v>8</v>
      </c>
      <c r="G6" s="5"/>
      <c r="H6" s="8"/>
      <c r="I6" s="11"/>
      <c r="J6" s="12">
        <v>12345678</v>
      </c>
      <c r="L6" s="19" t="s">
        <v>31</v>
      </c>
      <c r="M6" s="19"/>
      <c r="N6" s="19"/>
      <c r="O6" s="19"/>
      <c r="P6" s="19"/>
      <c r="Q6" s="19"/>
    </row>
    <row r="7" spans="2:17" s="9" customFormat="1" ht="3.6" customHeight="1" x14ac:dyDescent="0.3">
      <c r="B7" s="11"/>
      <c r="C7" s="10"/>
      <c r="D7" s="10"/>
      <c r="E7" s="10"/>
      <c r="F7" s="11"/>
      <c r="G7" s="11"/>
      <c r="H7" s="11"/>
      <c r="I7" s="11"/>
      <c r="J7" s="13"/>
    </row>
    <row r="8" spans="2:17" x14ac:dyDescent="0.3">
      <c r="B8" s="5" t="s">
        <v>13</v>
      </c>
      <c r="C8" s="6"/>
      <c r="D8" s="7"/>
      <c r="E8" s="10"/>
      <c r="F8" s="14" t="s">
        <v>12</v>
      </c>
      <c r="G8" s="5"/>
      <c r="H8" s="8"/>
      <c r="I8" s="11"/>
      <c r="J8" s="12">
        <v>24356</v>
      </c>
    </row>
    <row r="9" spans="2:17" s="9" customFormat="1" ht="3.6" customHeight="1" x14ac:dyDescent="0.3">
      <c r="B9" s="11"/>
      <c r="C9" s="10"/>
      <c r="D9" s="10"/>
      <c r="E9" s="10"/>
      <c r="F9" s="11"/>
      <c r="G9" s="11"/>
      <c r="H9" s="11"/>
      <c r="I9" s="11"/>
      <c r="J9" s="13"/>
    </row>
    <row r="10" spans="2:17" x14ac:dyDescent="0.3">
      <c r="B10" s="5" t="s">
        <v>11</v>
      </c>
      <c r="C10" s="6"/>
      <c r="D10" s="7"/>
      <c r="E10" s="10"/>
      <c r="F10" s="14" t="s">
        <v>14</v>
      </c>
      <c r="G10" s="5"/>
      <c r="H10" s="8"/>
      <c r="I10" s="11"/>
      <c r="J10" s="12">
        <v>5218334</v>
      </c>
    </row>
    <row r="11" spans="2:17" s="9" customFormat="1" ht="3.6" customHeight="1" x14ac:dyDescent="0.3"/>
    <row r="12" spans="2:17" x14ac:dyDescent="0.3">
      <c r="B12" s="5" t="s">
        <v>10</v>
      </c>
      <c r="C12" s="5"/>
      <c r="D12" s="8"/>
      <c r="F12" s="14" t="s">
        <v>15</v>
      </c>
      <c r="G12" s="5"/>
      <c r="H12" s="8"/>
      <c r="J12" s="12">
        <v>1365479</v>
      </c>
    </row>
    <row r="15" spans="2:17" ht="21.6" thickBot="1" x14ac:dyDescent="0.45">
      <c r="B15" s="15" t="s">
        <v>27</v>
      </c>
      <c r="C15" s="15"/>
      <c r="D15" s="15"/>
      <c r="E15" s="15"/>
      <c r="F15" s="15"/>
      <c r="G15" s="15"/>
      <c r="H15" s="15"/>
      <c r="I15" s="15"/>
      <c r="J15" s="15"/>
      <c r="K15" s="15"/>
    </row>
    <row r="16" spans="2:17" ht="29.4" thickTop="1" x14ac:dyDescent="0.55000000000000004">
      <c r="B16" s="16" t="s">
        <v>17</v>
      </c>
      <c r="J16" s="16" t="s">
        <v>16</v>
      </c>
    </row>
    <row r="17" spans="2:13" x14ac:dyDescent="0.3">
      <c r="B17" s="17" t="s">
        <v>19</v>
      </c>
      <c r="C17" s="17" t="s">
        <v>30</v>
      </c>
      <c r="D17" s="17" t="s">
        <v>20</v>
      </c>
      <c r="J17" s="18"/>
      <c r="K17" s="18"/>
      <c r="L17" s="18"/>
      <c r="M17" s="18"/>
    </row>
    <row r="18" spans="2:13" x14ac:dyDescent="0.3">
      <c r="B18" s="17" t="s">
        <v>18</v>
      </c>
      <c r="C18" s="17">
        <v>32.5</v>
      </c>
      <c r="D18" s="17" t="s">
        <v>21</v>
      </c>
      <c r="J18" t="str">
        <f>Calcs!C11</f>
        <v>Pressão [psia]</v>
      </c>
      <c r="K18" t="str">
        <f>Calcs!D11</f>
        <v>Rs [scf/stb]</v>
      </c>
      <c r="L18" t="s">
        <v>38</v>
      </c>
    </row>
    <row r="19" spans="2:13" x14ac:dyDescent="0.3">
      <c r="B19" s="17" t="s">
        <v>22</v>
      </c>
      <c r="C19" s="17">
        <v>0.64</v>
      </c>
      <c r="D19" s="17" t="s">
        <v>21</v>
      </c>
      <c r="J19">
        <f>Calcs!C12</f>
        <v>500</v>
      </c>
      <c r="K19">
        <f>Calcs!D12</f>
        <v>75.172064735019845</v>
      </c>
    </row>
    <row r="20" spans="2:13" x14ac:dyDescent="0.3">
      <c r="B20" s="17" t="s">
        <v>23</v>
      </c>
      <c r="C20" s="17">
        <v>145</v>
      </c>
      <c r="D20" s="17" t="s">
        <v>24</v>
      </c>
      <c r="J20">
        <f>Calcs!C13</f>
        <v>640.97619047619048</v>
      </c>
      <c r="K20">
        <f>Calcs!D13</f>
        <v>101.3964185856864</v>
      </c>
    </row>
    <row r="21" spans="2:13" x14ac:dyDescent="0.3">
      <c r="B21" s="17" t="s">
        <v>25</v>
      </c>
      <c r="C21" s="17">
        <v>2460.5</v>
      </c>
      <c r="D21" s="17" t="s">
        <v>26</v>
      </c>
      <c r="J21">
        <f>Calcs!C14</f>
        <v>781.95238095238096</v>
      </c>
      <c r="K21">
        <f>Calcs!D14</f>
        <v>128.83824334759655</v>
      </c>
    </row>
    <row r="22" spans="2:13" x14ac:dyDescent="0.3">
      <c r="J22">
        <f>Calcs!C15</f>
        <v>922.92857142857144</v>
      </c>
      <c r="K22">
        <f>Calcs!D15</f>
        <v>157.31751048939537</v>
      </c>
    </row>
    <row r="23" spans="2:13" x14ac:dyDescent="0.3">
      <c r="J23">
        <f>Calcs!C16</f>
        <v>1063.9047619047619</v>
      </c>
      <c r="K23">
        <f>Calcs!D16</f>
        <v>186.70509774063586</v>
      </c>
    </row>
    <row r="24" spans="2:13" x14ac:dyDescent="0.3">
      <c r="J24">
        <f>Calcs!C17</f>
        <v>1204.8809523809523</v>
      </c>
      <c r="K24">
        <f>Calcs!D17</f>
        <v>216.90336000795767</v>
      </c>
    </row>
    <row r="25" spans="2:13" x14ac:dyDescent="0.3">
      <c r="J25">
        <f>Calcs!C18</f>
        <v>1345.8571428571427</v>
      </c>
      <c r="K25">
        <f>Calcs!D18</f>
        <v>247.83558230300775</v>
      </c>
    </row>
    <row r="26" spans="2:13" x14ac:dyDescent="0.3">
      <c r="J26">
        <f>Calcs!C19</f>
        <v>1486.833333333333</v>
      </c>
      <c r="K26">
        <f>Calcs!D19</f>
        <v>279.43972635175487</v>
      </c>
    </row>
    <row r="27" spans="2:13" x14ac:dyDescent="0.3">
      <c r="J27">
        <f>Calcs!C20</f>
        <v>1627.8095238095234</v>
      </c>
      <c r="K27">
        <f>Calcs!D20</f>
        <v>311.66447292251621</v>
      </c>
    </row>
    <row r="28" spans="2:13" x14ac:dyDescent="0.3">
      <c r="J28">
        <f>Calcs!C21</f>
        <v>1768.7857142857138</v>
      </c>
      <c r="K28">
        <f>Calcs!D21</f>
        <v>344.46658755429991</v>
      </c>
    </row>
    <row r="29" spans="2:13" x14ac:dyDescent="0.3">
      <c r="J29">
        <f>Calcs!C22</f>
        <v>1909.7619047619041</v>
      </c>
      <c r="K29">
        <f>Calcs!D22</f>
        <v>377.80909521304238</v>
      </c>
    </row>
    <row r="30" spans="2:13" x14ac:dyDescent="0.3">
      <c r="J30">
        <f>Calcs!C23</f>
        <v>2050.7380952380945</v>
      </c>
      <c r="K30">
        <f>Calcs!D23</f>
        <v>411.65997321571194</v>
      </c>
    </row>
    <row r="31" spans="2:13" x14ac:dyDescent="0.3">
      <c r="J31">
        <f>Calcs!C24</f>
        <v>2191.7142857142849</v>
      </c>
      <c r="K31">
        <f>Calcs!D24</f>
        <v>445.99118928598534</v>
      </c>
    </row>
    <row r="32" spans="2:13" x14ac:dyDescent="0.3">
      <c r="J32">
        <f>Calcs!C25</f>
        <v>2332.6904761904752</v>
      </c>
      <c r="K32">
        <f>Calcs!D25</f>
        <v>480.77797700417818</v>
      </c>
    </row>
    <row r="33" spans="10:11" x14ac:dyDescent="0.3">
      <c r="J33">
        <f>Calcs!C26</f>
        <v>2473.6666666666656</v>
      </c>
      <c r="K33">
        <f>Calcs!D26</f>
        <v>512.69102402417479</v>
      </c>
    </row>
    <row r="34" spans="10:11" x14ac:dyDescent="0.3">
      <c r="J34">
        <f>Calcs!C27</f>
        <v>2614.642857142856</v>
      </c>
      <c r="K34">
        <f>Calcs!D27</f>
        <v>512.69102402417479</v>
      </c>
    </row>
    <row r="35" spans="10:11" x14ac:dyDescent="0.3">
      <c r="J35">
        <f>Calcs!C28</f>
        <v>2755.6190476190463</v>
      </c>
      <c r="K35">
        <f>Calcs!D28</f>
        <v>512.69102402417479</v>
      </c>
    </row>
    <row r="36" spans="10:11" x14ac:dyDescent="0.3">
      <c r="J36">
        <f>Calcs!C29</f>
        <v>2896.5952380952367</v>
      </c>
      <c r="K36">
        <f>Calcs!D29</f>
        <v>512.69102402417479</v>
      </c>
    </row>
    <row r="37" spans="10:11" x14ac:dyDescent="0.3">
      <c r="J37">
        <f>Calcs!C30</f>
        <v>3037.5714285714271</v>
      </c>
      <c r="K37">
        <f>Calcs!D30</f>
        <v>512.69102402417479</v>
      </c>
    </row>
    <row r="38" spans="10:11" x14ac:dyDescent="0.3">
      <c r="J38">
        <f>Calcs!C31</f>
        <v>3178.5476190476174</v>
      </c>
      <c r="K38">
        <f>Calcs!D31</f>
        <v>512.69102402417479</v>
      </c>
    </row>
    <row r="39" spans="10:11" x14ac:dyDescent="0.3">
      <c r="J39">
        <f>Calcs!C32</f>
        <v>3319.5238095238078</v>
      </c>
      <c r="K39">
        <f>Calcs!D32</f>
        <v>512.69102402417479</v>
      </c>
    </row>
  </sheetData>
  <mergeCells count="1">
    <mergeCell ref="B15:K15"/>
  </mergeCells>
  <phoneticPr fontId="7" type="noConversion"/>
  <hyperlinks>
    <hyperlink ref="F6" r:id="rId1" xr:uid="{982AEE8C-EED1-44D8-B342-A9467222F741}"/>
    <hyperlink ref="F8" r:id="rId2" xr:uid="{6052E3F2-D4CE-40A0-861B-F5345A5F9D66}"/>
    <hyperlink ref="F10" r:id="rId3" xr:uid="{EFD812FC-0164-4E31-9EF9-FB09B646BB41}"/>
    <hyperlink ref="F12" r:id="rId4" xr:uid="{DC83991B-A3CE-4DF1-B2BB-32D3EBF856FA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222C-5CB8-40CC-B798-EF41DF6C9329}">
  <sheetPr codeName="Planilha2"/>
  <dimension ref="B2:J61"/>
  <sheetViews>
    <sheetView topLeftCell="A7" workbookViewId="0">
      <selection activeCell="E16" sqref="E16"/>
    </sheetView>
  </sheetViews>
  <sheetFormatPr defaultRowHeight="14.4" x14ac:dyDescent="0.3"/>
  <cols>
    <col min="1" max="1" width="1.21875" customWidth="1"/>
    <col min="2" max="2" width="16.5546875" bestFit="1" customWidth="1"/>
    <col min="3" max="3" width="12.44140625" bestFit="1" customWidth="1"/>
    <col min="4" max="4" width="11.6640625" customWidth="1"/>
  </cols>
  <sheetData>
    <row r="2" spans="2:10" x14ac:dyDescent="0.3">
      <c r="B2" t="s">
        <v>32</v>
      </c>
    </row>
    <row r="4" spans="2:10" x14ac:dyDescent="0.3">
      <c r="B4" s="20" t="str">
        <f>Capa!B17</f>
        <v>Parâmetros</v>
      </c>
      <c r="C4" s="20" t="str">
        <f>Capa!C17</f>
        <v>Valores</v>
      </c>
      <c r="D4" s="20" t="str">
        <f>Capa!D17</f>
        <v>Unidades</v>
      </c>
      <c r="H4" s="20" t="s">
        <v>33</v>
      </c>
      <c r="I4" s="20" t="s">
        <v>34</v>
      </c>
      <c r="J4" s="20" t="s">
        <v>35</v>
      </c>
    </row>
    <row r="5" spans="2:10" x14ac:dyDescent="0.3">
      <c r="B5" s="20" t="str">
        <f>Capa!B18</f>
        <v>API</v>
      </c>
      <c r="C5" s="20">
        <f>Capa!C18</f>
        <v>32.5</v>
      </c>
      <c r="D5" s="20" t="str">
        <f>Capa!D18</f>
        <v>[-]</v>
      </c>
      <c r="F5" s="20" t="s">
        <v>28</v>
      </c>
      <c r="G5" s="20" t="s">
        <v>26</v>
      </c>
      <c r="H5" s="20">
        <f>1000+C8</f>
        <v>3460.5</v>
      </c>
      <c r="I5" s="20">
        <v>500</v>
      </c>
      <c r="J5" s="20">
        <v>21</v>
      </c>
    </row>
    <row r="6" spans="2:10" x14ac:dyDescent="0.3">
      <c r="B6" s="20" t="str">
        <f>Capa!B19</f>
        <v>SGgás</v>
      </c>
      <c r="C6" s="20">
        <f>Capa!C19</f>
        <v>0.64</v>
      </c>
      <c r="D6" s="20" t="str">
        <f>Capa!D19</f>
        <v>[-]</v>
      </c>
      <c r="F6" s="21"/>
      <c r="G6" s="21"/>
      <c r="H6" s="21"/>
      <c r="I6" s="21"/>
      <c r="J6" s="21"/>
    </row>
    <row r="7" spans="2:10" x14ac:dyDescent="0.3">
      <c r="B7" s="20" t="str">
        <f>Capa!B20</f>
        <v>T</v>
      </c>
      <c r="C7" s="20">
        <f>Capa!C20</f>
        <v>145</v>
      </c>
      <c r="D7" s="20" t="str">
        <f>Capa!D20</f>
        <v>[°F]</v>
      </c>
    </row>
    <row r="8" spans="2:10" x14ac:dyDescent="0.3">
      <c r="B8" s="20" t="str">
        <f>Capa!B21</f>
        <v>Pbolha</v>
      </c>
      <c r="C8" s="20">
        <f>Capa!C21</f>
        <v>2460.5</v>
      </c>
      <c r="D8" s="20" t="str">
        <f>Capa!D21</f>
        <v>[psia]</v>
      </c>
    </row>
    <row r="11" spans="2:10" x14ac:dyDescent="0.3">
      <c r="B11" t="s">
        <v>36</v>
      </c>
      <c r="C11" t="s">
        <v>37</v>
      </c>
      <c r="D11" t="s">
        <v>29</v>
      </c>
    </row>
    <row r="12" spans="2:10" x14ac:dyDescent="0.3">
      <c r="C12" cm="1">
        <f t="array" ref="C12:C32">_xlfn.SEQUENCE(J5,1,I5,(H5-I5)/J5)</f>
        <v>500</v>
      </c>
      <c r="D12" s="22" cm="1">
        <f t="array" ref="D12">IF(C12&lt;=$C$8,Rs($C$6,$C$5,C12,$C$7,1),Rs($C$6,$C$5,$C$8,$C$7,1))</f>
        <v>75.172064735019845</v>
      </c>
    </row>
    <row r="13" spans="2:10" x14ac:dyDescent="0.3">
      <c r="C13">
        <v>640.97619047619048</v>
      </c>
      <c r="D13" s="22" cm="1">
        <f t="array" ref="D13">IF(C13&lt;=$C$8,Rs($C$6,$C$5,C13,$C$7,1),Rs($C$6,$C$5,$C$8,$C$7,1))</f>
        <v>101.3964185856864</v>
      </c>
    </row>
    <row r="14" spans="2:10" x14ac:dyDescent="0.3">
      <c r="C14">
        <v>781.95238095238096</v>
      </c>
      <c r="D14" s="22" cm="1">
        <f t="array" ref="D14">IF(C14&lt;=$C$8,Rs($C$6,$C$5,C14,$C$7,1),Rs($C$6,$C$5,$C$8,$C$7,1))</f>
        <v>128.83824334759655</v>
      </c>
    </row>
    <row r="15" spans="2:10" x14ac:dyDescent="0.3">
      <c r="C15">
        <v>922.92857142857144</v>
      </c>
      <c r="D15" s="22" cm="1">
        <f t="array" ref="D15">IF(C15&lt;=$C$8,Rs($C$6,$C$5,C15,$C$7,1),Rs($C$6,$C$5,$C$8,$C$7,1))</f>
        <v>157.31751048939537</v>
      </c>
    </row>
    <row r="16" spans="2:10" x14ac:dyDescent="0.3">
      <c r="C16">
        <v>1063.9047619047619</v>
      </c>
      <c r="D16" s="22" cm="1">
        <f t="array" ref="D16">IF(C16&lt;=$C$8,Rs($C$6,$C$5,C16,$C$7,1),Rs($C$6,$C$5,$C$8,$C$7,1))</f>
        <v>186.70509774063586</v>
      </c>
    </row>
    <row r="17" spans="3:4" x14ac:dyDescent="0.3">
      <c r="C17">
        <v>1204.8809523809523</v>
      </c>
      <c r="D17" s="22" cm="1">
        <f t="array" ref="D17">IF(C17&lt;=$C$8,Rs($C$6,$C$5,C17,$C$7,1),Rs($C$6,$C$5,$C$8,$C$7,1))</f>
        <v>216.90336000795767</v>
      </c>
    </row>
    <row r="18" spans="3:4" x14ac:dyDescent="0.3">
      <c r="C18">
        <v>1345.8571428571427</v>
      </c>
      <c r="D18" s="22" cm="1">
        <f t="array" ref="D18">IF(C18&lt;=$C$8,Rs($C$6,$C$5,C18,$C$7,1),Rs($C$6,$C$5,$C$8,$C$7,1))</f>
        <v>247.83558230300775</v>
      </c>
    </row>
    <row r="19" spans="3:4" x14ac:dyDescent="0.3">
      <c r="C19">
        <v>1486.833333333333</v>
      </c>
      <c r="D19" s="22" cm="1">
        <f t="array" ref="D19">IF(C19&lt;=$C$8,Rs($C$6,$C$5,C19,$C$7,1),Rs($C$6,$C$5,$C$8,$C$7,1))</f>
        <v>279.43972635175487</v>
      </c>
    </row>
    <row r="20" spans="3:4" x14ac:dyDescent="0.3">
      <c r="C20">
        <v>1627.8095238095234</v>
      </c>
      <c r="D20" s="22" cm="1">
        <f t="array" ref="D20">IF(C20&lt;=$C$8,Rs($C$6,$C$5,C20,$C$7,1),Rs($C$6,$C$5,$C$8,$C$7,1))</f>
        <v>311.66447292251621</v>
      </c>
    </row>
    <row r="21" spans="3:4" x14ac:dyDescent="0.3">
      <c r="C21">
        <v>1768.7857142857138</v>
      </c>
      <c r="D21" s="22" cm="1">
        <f t="array" ref="D21">IF(C21&lt;=$C$8,Rs($C$6,$C$5,C21,$C$7,1),Rs($C$6,$C$5,$C$8,$C$7,1))</f>
        <v>344.46658755429991</v>
      </c>
    </row>
    <row r="22" spans="3:4" x14ac:dyDescent="0.3">
      <c r="C22">
        <v>1909.7619047619041</v>
      </c>
      <c r="D22" s="22" cm="1">
        <f t="array" ref="D22">IF(C22&lt;=$C$8,Rs($C$6,$C$5,C22,$C$7,1),Rs($C$6,$C$5,$C$8,$C$7,1))</f>
        <v>377.80909521304238</v>
      </c>
    </row>
    <row r="23" spans="3:4" x14ac:dyDescent="0.3">
      <c r="C23">
        <v>2050.7380952380945</v>
      </c>
      <c r="D23" s="22" cm="1">
        <f t="array" ref="D23">IF(C23&lt;=$C$8,Rs($C$6,$C$5,C23,$C$7,1),Rs($C$6,$C$5,$C$8,$C$7,1))</f>
        <v>411.65997321571194</v>
      </c>
    </row>
    <row r="24" spans="3:4" x14ac:dyDescent="0.3">
      <c r="C24">
        <v>2191.7142857142849</v>
      </c>
      <c r="D24" s="22" cm="1">
        <f t="array" ref="D24">IF(C24&lt;=$C$8,Rs($C$6,$C$5,C24,$C$7,1),Rs($C$6,$C$5,$C$8,$C$7,1))</f>
        <v>445.99118928598534</v>
      </c>
    </row>
    <row r="25" spans="3:4" x14ac:dyDescent="0.3">
      <c r="C25">
        <v>2332.6904761904752</v>
      </c>
      <c r="D25" s="22" cm="1">
        <f t="array" ref="D25">IF(C25&lt;=$C$8,Rs($C$6,$C$5,C25,$C$7,1),Rs($C$6,$C$5,$C$8,$C$7,1))</f>
        <v>480.77797700417818</v>
      </c>
    </row>
    <row r="26" spans="3:4" x14ac:dyDescent="0.3">
      <c r="C26">
        <v>2473.6666666666656</v>
      </c>
      <c r="D26" s="22" cm="1">
        <f t="array" ref="D26">IF(C26&lt;=$C$8,Rs($C$6,$C$5,C26,$C$7,1),Rs($C$6,$C$5,$C$8,$C$7,1))</f>
        <v>512.69102402417479</v>
      </c>
    </row>
    <row r="27" spans="3:4" x14ac:dyDescent="0.3">
      <c r="C27">
        <v>2614.642857142856</v>
      </c>
      <c r="D27" s="22" cm="1">
        <f t="array" ref="D27">IF(C27&lt;=$C$8,Rs($C$6,$C$5,C27,$C$7,1),Rs($C$6,$C$5,$C$8,$C$7,1))</f>
        <v>512.69102402417479</v>
      </c>
    </row>
    <row r="28" spans="3:4" x14ac:dyDescent="0.3">
      <c r="C28">
        <v>2755.6190476190463</v>
      </c>
      <c r="D28" s="22" cm="1">
        <f t="array" ref="D28">IF(C28&lt;=$C$8,Rs($C$6,$C$5,C28,$C$7,1),Rs($C$6,$C$5,$C$8,$C$7,1))</f>
        <v>512.69102402417479</v>
      </c>
    </row>
    <row r="29" spans="3:4" x14ac:dyDescent="0.3">
      <c r="C29">
        <v>2896.5952380952367</v>
      </c>
      <c r="D29" s="22" cm="1">
        <f t="array" ref="D29">IF(C29&lt;=$C$8,Rs($C$6,$C$5,C29,$C$7,1),Rs($C$6,$C$5,$C$8,$C$7,1))</f>
        <v>512.69102402417479</v>
      </c>
    </row>
    <row r="30" spans="3:4" x14ac:dyDescent="0.3">
      <c r="C30">
        <v>3037.5714285714271</v>
      </c>
      <c r="D30" s="22" cm="1">
        <f t="array" ref="D30">IF(C30&lt;=$C$8,Rs($C$6,$C$5,C30,$C$7,1),Rs($C$6,$C$5,$C$8,$C$7,1))</f>
        <v>512.69102402417479</v>
      </c>
    </row>
    <row r="31" spans="3:4" x14ac:dyDescent="0.3">
      <c r="C31">
        <v>3178.5476190476174</v>
      </c>
      <c r="D31" s="22" cm="1">
        <f t="array" ref="D31">IF(C31&lt;=$C$8,Rs($C$6,$C$5,C31,$C$7,1),Rs($C$6,$C$5,$C$8,$C$7,1))</f>
        <v>512.69102402417479</v>
      </c>
    </row>
    <row r="32" spans="3:4" x14ac:dyDescent="0.3">
      <c r="C32">
        <v>3319.5238095238078</v>
      </c>
      <c r="D32" s="22" cm="1">
        <f t="array" ref="D32">IF(C32&lt;=$C$8,Rs($C$6,$C$5,C32,$C$7,1),Rs($C$6,$C$5,$C$8,$C$7,1))</f>
        <v>512.69102402417479</v>
      </c>
    </row>
    <row r="33" spans="4:4" x14ac:dyDescent="0.3">
      <c r="D33" s="22" cm="1">
        <f t="array" ref="D33">IF(C33&lt;=$C$8,Rs($C$6,$C$5,C33,$C$7,1),Rs($C$6,$C$5,$C$8,$C$7,1))</f>
        <v>0</v>
      </c>
    </row>
    <row r="34" spans="4:4" x14ac:dyDescent="0.3">
      <c r="D34" s="22" cm="1">
        <f t="array" ref="D34">IF(C34&lt;=$C$8,Rs($C$6,$C$5,C34,$C$7,1),Rs($C$6,$C$5,$C$8,$C$7,1))</f>
        <v>0</v>
      </c>
    </row>
    <row r="35" spans="4:4" x14ac:dyDescent="0.3">
      <c r="D35" s="22" cm="1">
        <f t="array" ref="D35">IF(C35&lt;=$C$8,Rs($C$6,$C$5,C35,$C$7,1),Rs($C$6,$C$5,$C$8,$C$7,1))</f>
        <v>0</v>
      </c>
    </row>
    <row r="36" spans="4:4" x14ac:dyDescent="0.3">
      <c r="D36" s="22" cm="1">
        <f t="array" ref="D36">IF(C36&lt;=$C$8,Rs($C$6,$C$5,C36,$C$7,1),Rs($C$6,$C$5,$C$8,$C$7,1))</f>
        <v>0</v>
      </c>
    </row>
    <row r="37" spans="4:4" x14ac:dyDescent="0.3">
      <c r="D37" s="22" cm="1">
        <f t="array" ref="D37">IF(C37&lt;=$C$8,Rs($C$6,$C$5,C37,$C$7,1),Rs($C$6,$C$5,$C$8,$C$7,1))</f>
        <v>0</v>
      </c>
    </row>
    <row r="38" spans="4:4" x14ac:dyDescent="0.3">
      <c r="D38" s="22" cm="1">
        <f t="array" ref="D38">IF(C38&lt;=$C$8,Rs($C$6,$C$5,C38,$C$7,1),Rs($C$6,$C$5,$C$8,$C$7,1))</f>
        <v>0</v>
      </c>
    </row>
    <row r="39" spans="4:4" x14ac:dyDescent="0.3">
      <c r="D39" s="22" cm="1">
        <f t="array" ref="D39">IF(C39&lt;=$C$8,Rs($C$6,$C$5,C39,$C$7,1),Rs($C$6,$C$5,$C$8,$C$7,1))</f>
        <v>0</v>
      </c>
    </row>
    <row r="40" spans="4:4" x14ac:dyDescent="0.3">
      <c r="D40" s="22" cm="1">
        <f t="array" ref="D40">IF(C40&lt;=$C$8,Rs($C$6,$C$5,C40,$C$7,1),Rs($C$6,$C$5,$C$8,$C$7,1))</f>
        <v>0</v>
      </c>
    </row>
    <row r="41" spans="4:4" x14ac:dyDescent="0.3">
      <c r="D41" s="22" cm="1">
        <f t="array" ref="D41">IF(C41&lt;=$C$8,Rs($C$6,$C$5,C41,$C$7,1),Rs($C$6,$C$5,$C$8,$C$7,1))</f>
        <v>0</v>
      </c>
    </row>
    <row r="42" spans="4:4" x14ac:dyDescent="0.3">
      <c r="D42" s="22" cm="1">
        <f t="array" ref="D42">IF(C42&lt;=$C$8,Rs($C$6,$C$5,C42,$C$7,1),Rs($C$6,$C$5,$C$8,$C$7,1))</f>
        <v>0</v>
      </c>
    </row>
    <row r="43" spans="4:4" x14ac:dyDescent="0.3">
      <c r="D43" s="22" cm="1">
        <f t="array" ref="D43">IF(C43&lt;=$C$8,Rs($C$6,$C$5,C43,$C$7,1),Rs($C$6,$C$5,$C$8,$C$7,1))</f>
        <v>0</v>
      </c>
    </row>
    <row r="44" spans="4:4" x14ac:dyDescent="0.3">
      <c r="D44" s="22" cm="1">
        <f t="array" ref="D44">IF(C44&lt;=$C$8,Rs($C$6,$C$5,C44,$C$7,1),Rs($C$6,$C$5,$C$8,$C$7,1))</f>
        <v>0</v>
      </c>
    </row>
    <row r="45" spans="4:4" x14ac:dyDescent="0.3">
      <c r="D45" s="22" cm="1">
        <f t="array" ref="D45">IF(C45&lt;=$C$8,Rs($C$6,$C$5,C45,$C$7,1),Rs($C$6,$C$5,$C$8,$C$7,1))</f>
        <v>0</v>
      </c>
    </row>
    <row r="46" spans="4:4" x14ac:dyDescent="0.3">
      <c r="D46" s="22" cm="1">
        <f t="array" ref="D46">IF(C46&lt;=$C$8,Rs($C$6,$C$5,C46,$C$7,1),Rs($C$6,$C$5,$C$8,$C$7,1))</f>
        <v>0</v>
      </c>
    </row>
    <row r="47" spans="4:4" x14ac:dyDescent="0.3">
      <c r="D47" s="22" cm="1">
        <f t="array" ref="D47">IF(C47&lt;=$C$8,Rs($C$6,$C$5,C47,$C$7,1),Rs($C$6,$C$5,$C$8,$C$7,1))</f>
        <v>0</v>
      </c>
    </row>
    <row r="48" spans="4:4" x14ac:dyDescent="0.3">
      <c r="D48" s="22" cm="1">
        <f t="array" ref="D48">IF(C48&lt;=$C$8,Rs($C$6,$C$5,C48,$C$7,1),Rs($C$6,$C$5,$C$8,$C$7,1))</f>
        <v>0</v>
      </c>
    </row>
    <row r="49" spans="4:4" x14ac:dyDescent="0.3">
      <c r="D49" s="22" cm="1">
        <f t="array" ref="D49">IF(C49&lt;=$C$8,Rs($C$6,$C$5,C49,$C$7,1),Rs($C$6,$C$5,$C$8,$C$7,1))</f>
        <v>0</v>
      </c>
    </row>
    <row r="50" spans="4:4" x14ac:dyDescent="0.3">
      <c r="D50" s="22" cm="1">
        <f t="array" ref="D50">IF(C50&lt;=$C$8,Rs($C$6,$C$5,C50,$C$7,1),Rs($C$6,$C$5,$C$8,$C$7,1))</f>
        <v>0</v>
      </c>
    </row>
    <row r="51" spans="4:4" x14ac:dyDescent="0.3">
      <c r="D51" s="22" cm="1">
        <f t="array" ref="D51">IF(C51&lt;=$C$8,Rs($C$6,$C$5,C51,$C$7,1),Rs($C$6,$C$5,$C$8,$C$7,1))</f>
        <v>0</v>
      </c>
    </row>
    <row r="52" spans="4:4" x14ac:dyDescent="0.3">
      <c r="D52" s="22" cm="1">
        <f t="array" ref="D52">IF(C52&lt;=$C$8,Rs($C$6,$C$5,C52,$C$7,1),Rs($C$6,$C$5,$C$8,$C$7,1))</f>
        <v>0</v>
      </c>
    </row>
    <row r="53" spans="4:4" x14ac:dyDescent="0.3">
      <c r="D53" s="22" cm="1">
        <f t="array" ref="D53">IF(C53&lt;=$C$8,Rs($C$6,$C$5,C53,$C$7,1),Rs($C$6,$C$5,$C$8,$C$7,1))</f>
        <v>0</v>
      </c>
    </row>
    <row r="54" spans="4:4" x14ac:dyDescent="0.3">
      <c r="D54" s="22" cm="1">
        <f t="array" ref="D54">IF(C54&lt;=$C$8,Rs($C$6,$C$5,C54,$C$7,1),Rs($C$6,$C$5,$C$8,$C$7,1))</f>
        <v>0</v>
      </c>
    </row>
    <row r="55" spans="4:4" x14ac:dyDescent="0.3">
      <c r="D55" s="22" cm="1">
        <f t="array" ref="D55">IF(C55&lt;=$C$8,Rs($C$6,$C$5,C55,$C$7,1),Rs($C$6,$C$5,$C$8,$C$7,1))</f>
        <v>0</v>
      </c>
    </row>
    <row r="56" spans="4:4" x14ac:dyDescent="0.3">
      <c r="D56" s="22" cm="1">
        <f t="array" ref="D56">IF(C56&lt;=$C$8,Rs($C$6,$C$5,C56,$C$7,1),Rs($C$6,$C$5,$C$8,$C$7,1))</f>
        <v>0</v>
      </c>
    </row>
    <row r="57" spans="4:4" x14ac:dyDescent="0.3">
      <c r="D57" s="22" cm="1">
        <f t="array" ref="D57">IF(C57&lt;=$C$8,Rs($C$6,$C$5,C57,$C$7,1),Rs($C$6,$C$5,$C$8,$C$7,1))</f>
        <v>0</v>
      </c>
    </row>
    <row r="58" spans="4:4" x14ac:dyDescent="0.3">
      <c r="D58" s="22" cm="1">
        <f t="array" ref="D58">IF(C58&lt;=$C$8,Rs($C$6,$C$5,C58,$C$7,1),Rs($C$6,$C$5,$C$8,$C$7,1))</f>
        <v>0</v>
      </c>
    </row>
    <row r="59" spans="4:4" x14ac:dyDescent="0.3">
      <c r="D59" s="22" cm="1">
        <f t="array" ref="D59">IF(C59&lt;=$C$8,Rs($C$6,$C$5,C59,$C$7,1),Rs($C$6,$C$5,$C$8,$C$7,1))</f>
        <v>0</v>
      </c>
    </row>
    <row r="60" spans="4:4" x14ac:dyDescent="0.3">
      <c r="D60" s="22" cm="1">
        <f t="array" ref="D60">IF(C60&lt;=$C$8,Rs($C$6,$C$5,C60,$C$7,1),Rs($C$6,$C$5,$C$8,$C$7,1))</f>
        <v>0</v>
      </c>
    </row>
    <row r="61" spans="4:4" x14ac:dyDescent="0.3">
      <c r="D61" s="22" cm="1">
        <f t="array" ref="D61">IF(C61&lt;=$C$8,Rs($C$6,$C$5,C61,$C$7,1),Rs($C$6,$C$5,$C$8,$C$7,1))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Capa</vt:lpstr>
      <vt:lpstr>Calcs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da Cunha</dc:creator>
  <cp:lastModifiedBy>Jonathan da Cunha</cp:lastModifiedBy>
  <dcterms:created xsi:type="dcterms:W3CDTF">2025-01-13T23:14:17Z</dcterms:created>
  <dcterms:modified xsi:type="dcterms:W3CDTF">2025-01-14T02:06:05Z</dcterms:modified>
</cp:coreProperties>
</file>